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Leads &amp; Demo Requests" sheetId="2" state="visible" r:id="rId4"/>
    <sheet name="Customers" sheetId="3" state="visible" r:id="rId5"/>
    <sheet name="Orders &amp; Renewals" sheetId="4" state="visible" r:id="rId6"/>
    <sheet name="Pricing Reference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<sst xmlns="http://schemas.openxmlformats.org/spreadsheetml/2006/main" count="132" uniqueCount="105">
  <si>
    <t xml:space="preserve">DataFe - Business Tracker</t>
  </si>
  <si>
    <t xml:space="preserve">A lightweight tracker for running DataFe as a company - leads, demo customers, paying customers, orders, and pricing - while there's not yet enough real traffic to justify a full internal data warehouse.</t>
  </si>
  <si>
    <t xml:space="preserve">How to use this workbook</t>
  </si>
  <si>
    <t xml:space="preserve">Leads &amp; Demo Requests</t>
  </si>
  <si>
    <t xml:space="preserve">Log everyone who signs up for a demo, requests access, or otherwise shows interest - before they're a customer.</t>
  </si>
  <si>
    <t xml:space="preserve">Customers</t>
  </si>
  <si>
    <t xml:space="preserve">One row per paying (or trialing) organization. Update Status as they move through Trial -&gt; Active -&gt; Churned.</t>
  </si>
  <si>
    <t xml:space="preserve">Orders &amp; Renewals</t>
  </si>
  <si>
    <t xml:space="preserve">One row per subscription event - a new signup, a renewal, an upgrade/downgrade, or a cancellation.</t>
  </si>
  <si>
    <t xml:space="preserve">Pricing Reference</t>
  </si>
  <si>
    <t xml:space="preserve">Read-only - mirrors docs/DataFe_Pricing_Strategy.docx. Update this sheet if pricing changes, not ad hoc in other sheets.</t>
  </si>
  <si>
    <t xml:space="preserve">Summary</t>
  </si>
  <si>
    <t xml:space="preserve">Everything here is a formula pulling from the other sheets - don't type numbers directly into it. It recalculates automatically as you add rows.</t>
  </si>
  <si>
    <t xml:space="preserve">Conventions</t>
  </si>
  <si>
    <t xml:space="preserve">Blue text</t>
  </si>
  <si>
    <t xml:space="preserve">A cell you're meant to fill in.</t>
  </si>
  <si>
    <t xml:space="preserve">Black text</t>
  </si>
  <si>
    <t xml:space="preserve">A formula - leave it alone.</t>
  </si>
  <si>
    <t xml:space="preserve">Grey-shaded row</t>
  </si>
  <si>
    <t xml:space="preserve">An example row showing the expected format - delete it once you have real data, or leave it as a reference at the top.</t>
  </si>
  <si>
    <t xml:space="preserve">When to graduate off this workbook</t>
  </si>
  <si>
    <t xml:space="preserve">This is intentionally minimal.</t>
  </si>
  <si>
    <t xml:space="preserve">Once there's enough real signup/usage volume that a spreadsheet becomes unwieldy - many customers, multiple people updating it at once, or you want dashboards/alerts - that's the signal to move to a real lightweight CRM (e.g. a simple hosted tool) or a proper internal database. Don't build that ahead of need.</t>
  </si>
  <si>
    <t xml:space="preserve">Date</t>
  </si>
  <si>
    <t xml:space="preserve">Contact Name</t>
  </si>
  <si>
    <t xml:space="preserve">Company</t>
  </si>
  <si>
    <t xml:space="preserve">Email</t>
  </si>
  <si>
    <t xml:space="preserve">Company Size (est.)</t>
  </si>
  <si>
    <t xml:space="preserve">Source</t>
  </si>
  <si>
    <t xml:space="preserve">Status</t>
  </si>
  <si>
    <t xml:space="preserve">Assigned To</t>
  </si>
  <si>
    <t xml:space="preserve">Notes</t>
  </si>
  <si>
    <t xml:space="preserve">2026-07-01</t>
  </si>
  <si>
    <t xml:space="preserve">Priya Nair</t>
  </si>
  <si>
    <t xml:space="preserve">Kestrel Logistics</t>
  </si>
  <si>
    <t xml:space="preserve">priya@kestrellogistics.example</t>
  </si>
  <si>
    <t xml:space="preserve">20-300</t>
  </si>
  <si>
    <t xml:space="preserve">Website - Start free</t>
  </si>
  <si>
    <t xml:space="preserve">Demo Scheduled</t>
  </si>
  <si>
    <t xml:space="preserve">Soumick</t>
  </si>
  <si>
    <t xml:space="preserve">Found us via the pricing page; wants DPDP inventory for their CRM + warehouse.</t>
  </si>
  <si>
    <t xml:space="preserve">Customer ID</t>
  </si>
  <si>
    <t xml:space="preserve">Primary Contact</t>
  </si>
  <si>
    <t xml:space="preserve">Plan</t>
  </si>
  <si>
    <t xml:space="preserve">Start Date</t>
  </si>
  <si>
    <t xml:space="preserve">Engagement Period</t>
  </si>
  <si>
    <t xml:space="preserve">Renewal Date</t>
  </si>
  <si>
    <t xml:space="preserve">Monthly Recurring Revenue ($)</t>
  </si>
  <si>
    <t xml:space="preserve">Billing Cycle</t>
  </si>
  <si>
    <t xml:space="preserve">CUST-0001</t>
  </si>
  <si>
    <t xml:space="preserve">Team</t>
  </si>
  <si>
    <t xml:space="preserve">Active</t>
  </si>
  <si>
    <t xml:space="preserve">2026-07-15</t>
  </si>
  <si>
    <t xml:space="preserve">12 months</t>
  </si>
  <si>
    <t xml:space="preserve">2027-07-15</t>
  </si>
  <si>
    <t xml:space="preserve">Annual</t>
  </si>
  <si>
    <t xml:space="preserve">Converted from demo on 2026-07-10.</t>
  </si>
  <si>
    <t xml:space="preserve">Order ID</t>
  </si>
  <si>
    <t xml:space="preserve">Customer</t>
  </si>
  <si>
    <t xml:space="preserve">Event Type</t>
  </si>
  <si>
    <t xml:space="preserve">Amount ($)</t>
  </si>
  <si>
    <t xml:space="preserve">ORD-0001</t>
  </si>
  <si>
    <t xml:space="preserve">New</t>
  </si>
  <si>
    <t xml:space="preserve">First annual contract - 12 x $82/mo.</t>
  </si>
  <si>
    <t xml:space="preserve">Mirrors docs/DataFe_Pricing_Strategy.docx (July 2026). Update here if pricing changes - this sheet is what Customers/Orders should be checked against, not the other way around.</t>
  </si>
  <si>
    <t xml:space="preserve">Tier</t>
  </si>
  <si>
    <t xml:space="preserve">Monthly Price ($)</t>
  </si>
  <si>
    <t xml:space="preserve">Annual Price (per mo, $)</t>
  </si>
  <si>
    <t xml:space="preserve">Sources Included</t>
  </si>
  <si>
    <t xml:space="preserve">Editor Seats Included</t>
  </si>
  <si>
    <t xml:space="preserve">Extra Seat ($/mo)</t>
  </si>
  <si>
    <t xml:space="preserve">Audit Log Retention</t>
  </si>
  <si>
    <t xml:space="preserve">Best For</t>
  </si>
  <si>
    <t xml:space="preserve">Starter</t>
  </si>
  <si>
    <t xml:space="preserve">N/A</t>
  </si>
  <si>
    <t xml:space="preserve">7 days</t>
  </si>
  <si>
    <t xml:space="preserve">Individual evaluation, first catalog of a single production database</t>
  </si>
  <si>
    <t xml:space="preserve">30 days</t>
  </si>
  <si>
    <t xml:space="preserve">A small data or ops team standing up governance for the first time</t>
  </si>
  <si>
    <t xml:space="preserve">Business</t>
  </si>
  <si>
    <t xml:space="preserve">Unlimited + CSV export</t>
  </si>
  <si>
    <t xml:space="preserve">A growing company with several front-office + warehouse sources</t>
  </si>
  <si>
    <t xml:space="preserve">Enterprise</t>
  </si>
  <si>
    <t xml:space="preserve">Custom</t>
  </si>
  <si>
    <t xml:space="preserve">Custom (~$15,000/yr floor)</t>
  </si>
  <si>
    <t xml:space="preserve">Unlimited</t>
  </si>
  <si>
    <t xml:space="preserve">SSO/SAML, custom roles, VPC/on-prem, security review</t>
  </si>
  <si>
    <t xml:space="preserve">Viewer seats: unlimited and free on every tier, including Enterprise. Annual billing saves 18% vs monthly across all paid tiers.</t>
  </si>
  <si>
    <t xml:space="preserve">Every value below is a formula pulling from Leads, Customers, and Orders - it updates automatically as you add rows there.</t>
  </si>
  <si>
    <t xml:space="preserve">Pipeline</t>
  </si>
  <si>
    <t xml:space="preserve">Total leads logged</t>
  </si>
  <si>
    <t xml:space="preserve">Contacted</t>
  </si>
  <si>
    <t xml:space="preserve">Demo Completed</t>
  </si>
  <si>
    <t xml:space="preserve">Converted</t>
  </si>
  <si>
    <t xml:space="preserve">Lost</t>
  </si>
  <si>
    <t xml:space="preserve">Active customers</t>
  </si>
  <si>
    <t xml:space="preserve">Trialing</t>
  </si>
  <si>
    <t xml:space="preserve">Past due</t>
  </si>
  <si>
    <t xml:space="preserve">Churned (all time)</t>
  </si>
  <si>
    <t xml:space="preserve">Starter (free)</t>
  </si>
  <si>
    <t xml:space="preserve">Revenue</t>
  </si>
  <si>
    <t xml:space="preserve">Total MRR (active customers, $)</t>
  </si>
  <si>
    <t xml:space="preserve">Implied ARR (MRR x 12, $)</t>
  </si>
  <si>
    <t xml:space="preserve">Conversion</t>
  </si>
  <si>
    <t xml:space="preserve">Lead -&gt; customer conversion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</si>
</sst>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121F"/>
      <name val="Arial"/>
      <family val="0"/>
      <charset val="1"/>
    </font>
    <font>
      <i val="true"/>
      <sz val="10"/>
      <color rgb="FF6A6577"/>
      <name val="Arial"/>
      <family val="0"/>
      <charset val="1"/>
    </font>
    <font>
      <b val="true"/>
      <sz val="12"/>
      <color rgb="FF14121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A6577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121F"/>
        <bgColor rgb="FF0000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A6577"/>
      <rgbColor rgb="FF969696"/>
      <rgbColor rgb="FF003366"/>
      <rgbColor rgb="FF339966"/>
      <rgbColor rgb="FF1412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5" t="s">
        <v>3</v>
      </c>
    </row>
    <row r="7" customFormat="false" ht="15" hidden="false" customHeight="true" outlineLevel="0" collapsed="false">
      <c r="A7" s="6" t="s">
        <v>4</v>
      </c>
    </row>
    <row r="8" customFormat="false" ht="15" hidden="false" customHeight="true" outlineLevel="0" collapsed="false">
      <c r="A8" s="5" t="s">
        <v>5</v>
      </c>
    </row>
    <row r="9" customFormat="false" ht="15" hidden="false" customHeight="true" outlineLevel="0" collapsed="false">
      <c r="A9" s="6" t="s">
        <v>6</v>
      </c>
    </row>
    <row r="10" customFormat="false" ht="15" hidden="false" customHeight="true" outlineLevel="0" collapsed="false">
      <c r="A10" s="5" t="s">
        <v>7</v>
      </c>
    </row>
    <row r="11" customFormat="false" ht="15" hidden="false" customHeight="true" outlineLevel="0" collapsed="false">
      <c r="A11" s="6" t="s">
        <v>8</v>
      </c>
    </row>
    <row r="12" customFormat="false" ht="15" hidden="false" customHeight="true" outlineLevel="0" collapsed="false">
      <c r="A12" s="5" t="s">
        <v>9</v>
      </c>
    </row>
    <row r="13" customFormat="false" ht="15" hidden="false" customHeight="true" outlineLevel="0" collapsed="false">
      <c r="A13" s="6" t="s">
        <v>10</v>
      </c>
    </row>
    <row r="14" customFormat="false" ht="15" hidden="false" customHeight="true" outlineLevel="0" collapsed="false">
      <c r="A14" s="5" t="s">
        <v>11</v>
      </c>
    </row>
    <row r="15" customFormat="false" ht="23.25" hidden="false" customHeight="true" outlineLevel="0" collapsed="false">
      <c r="A15" s="6" t="s">
        <v>12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5" t="s">
        <v>14</v>
      </c>
    </row>
    <row r="19" customFormat="false" ht="15" hidden="false" customHeight="true" outlineLevel="0" collapsed="false">
      <c r="A19" s="6" t="s">
        <v>15</v>
      </c>
    </row>
    <row r="20" customFormat="false" ht="15" hidden="false" customHeight="true" outlineLevel="0" collapsed="false">
      <c r="A20" s="5" t="s">
        <v>16</v>
      </c>
    </row>
    <row r="21" customFormat="false" ht="15" hidden="false" customHeight="true" outlineLevel="0" collapsed="false">
      <c r="A21" s="6" t="s">
        <v>17</v>
      </c>
    </row>
    <row r="22" customFormat="false" ht="15" hidden="false" customHeight="true" outlineLevel="0" collapsed="false">
      <c r="A22" s="5" t="s">
        <v>18</v>
      </c>
    </row>
    <row r="23" customFormat="false" ht="15" hidden="false" customHeight="true" outlineLevel="0" collapsed="false">
      <c r="A23" s="6" t="s">
        <v>19</v>
      </c>
    </row>
    <row r="25" customFormat="false" ht="15" hidden="false" customHeight="true" outlineLevel="0" collapsed="false">
      <c r="A25" s="4" t="s">
        <v>20</v>
      </c>
    </row>
    <row r="26" customFormat="false" ht="15" hidden="false" customHeight="true" outlineLevel="0" collapsed="false">
      <c r="A26" s="5" t="s">
        <v>21</v>
      </c>
    </row>
    <row r="27" customFormat="false" ht="34.5" hidden="false" customHeight="true" outlineLevel="0" collapsed="false">
      <c r="A27" s="6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24"/>
    <col collapsed="false" customWidth="true" hidden="false" outlineLevel="0" max="7" min="5" style="1" width="16"/>
    <col collapsed="false" customWidth="true" hidden="false" outlineLevel="0" max="8" min="8" style="1" width="14"/>
    <col collapsed="false" customWidth="true" hidden="false" outlineLevel="0" max="9" min="9" style="1" width="34"/>
  </cols>
  <sheetData>
    <row r="1" customFormat="false" ht="30" hidden="false" customHeight="true" outlineLevel="0" collapsed="false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customFormat="false" ht="15" hidden="false" customHeight="true" outlineLevel="0" collapsed="false">
      <c r="A2" s="8" t="s">
        <v>32</v>
      </c>
      <c r="B2" s="8" t="s">
        <v>33</v>
      </c>
      <c r="C2" s="8" t="s">
        <v>34</v>
      </c>
      <c r="D2" s="8" t="s">
        <v>35</v>
      </c>
      <c r="E2" s="8" t="s">
        <v>36</v>
      </c>
      <c r="F2" s="8" t="s">
        <v>37</v>
      </c>
      <c r="G2" s="8" t="s">
        <v>38</v>
      </c>
      <c r="H2" s="8" t="s">
        <v>39</v>
      </c>
      <c r="I2" s="8" t="s">
        <v>40</v>
      </c>
    </row>
    <row r="3" customFormat="false" ht="1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</row>
    <row r="4" customFormat="false" ht="1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</row>
    <row r="5" customFormat="false" ht="15" hidden="false" customHeight="true" outlineLevel="0" collapsed="false">
      <c r="A5" s="9"/>
      <c r="B5" s="9"/>
      <c r="C5" s="9"/>
      <c r="D5" s="9"/>
      <c r="E5" s="9"/>
      <c r="F5" s="9"/>
      <c r="G5" s="9"/>
      <c r="H5" s="9"/>
      <c r="I5" s="9"/>
    </row>
    <row r="6" customFormat="false" ht="1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</row>
    <row r="7" customFormat="false" ht="1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</row>
    <row r="8" customFormat="false" ht="1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</row>
    <row r="9" customFormat="false" ht="1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</row>
    <row r="10" customFormat="false" ht="1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</row>
    <row r="16" customFormat="false" ht="1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</row>
    <row r="17" customFormat="false" ht="1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</row>
    <row r="18" customFormat="false" ht="1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</row>
    <row r="19" customFormat="false" ht="1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</row>
    <row r="20" customFormat="false" ht="1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</row>
    <row r="21" customFormat="false" ht="1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</row>
    <row r="22" customFormat="false" ht="1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</row>
    <row r="23" customFormat="false" ht="1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</row>
    <row r="24" customFormat="false" ht="1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</row>
    <row r="25" customFormat="false" ht="1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</row>
    <row r="28" customFormat="false" ht="1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</row>
    <row r="30" customFormat="false" ht="1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</row>
    <row r="32" customFormat="false" ht="1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</row>
    <row r="34" customFormat="false" ht="1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</row>
    <row r="35" customFormat="false" ht="1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</row>
    <row r="36" customFormat="false" ht="1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</row>
    <row r="37" customFormat="false" ht="1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</row>
    <row r="38" customFormat="false" ht="1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</row>
    <row r="39" customFormat="false" ht="1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</row>
  </sheetData>
  <dataValidations count="2">
    <dataValidation allowBlank="true" errorStyle="stop" operator="between" showDropDown="false" showErrorMessage="false" showInputMessage="false" sqref="G2:G500" type="list">
      <formula1>"New,Contacted,Demo Scheduled,Demo Completed,Converted,Lost"</formula1>
      <formula2>0</formula2>
    </dataValidation>
    <dataValidation allowBlank="true" errorStyle="stop" operator="between" showDropDown="false" showErrorMessage="false" showInputMessage="false" sqref="F2:F500" type="list">
      <formula1>"Website - Start free,Website - Demo request,Referral,Outbound,Content/SEO,Other"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4"/>
    <col collapsed="false" customWidth="true" hidden="false" outlineLevel="0" max="7" min="5" style="1" width="12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30"/>
  </cols>
  <sheetData>
    <row r="1" customFormat="false" ht="30" hidden="false" customHeight="true" outlineLevel="0" collapsed="false">
      <c r="A1" s="7" t="s">
        <v>41</v>
      </c>
      <c r="B1" s="7" t="s">
        <v>25</v>
      </c>
      <c r="C1" s="7" t="s">
        <v>42</v>
      </c>
      <c r="D1" s="7" t="s">
        <v>26</v>
      </c>
      <c r="E1" s="7" t="s">
        <v>43</v>
      </c>
      <c r="F1" s="7" t="s">
        <v>29</v>
      </c>
      <c r="G1" s="7" t="s">
        <v>44</v>
      </c>
      <c r="H1" s="7" t="s">
        <v>45</v>
      </c>
      <c r="I1" s="7" t="s">
        <v>46</v>
      </c>
      <c r="J1" s="7" t="s">
        <v>47</v>
      </c>
      <c r="K1" s="7" t="s">
        <v>48</v>
      </c>
      <c r="L1" s="7" t="s">
        <v>31</v>
      </c>
    </row>
    <row r="2" customFormat="false" ht="15" hidden="false" customHeight="true" outlineLevel="0" collapsed="false">
      <c r="A2" s="8" t="s">
        <v>49</v>
      </c>
      <c r="B2" s="8" t="s">
        <v>34</v>
      </c>
      <c r="C2" s="8" t="s">
        <v>33</v>
      </c>
      <c r="D2" s="8" t="s">
        <v>35</v>
      </c>
      <c r="E2" s="8" t="s">
        <v>50</v>
      </c>
      <c r="F2" s="8" t="s">
        <v>51</v>
      </c>
      <c r="G2" s="8" t="s">
        <v>52</v>
      </c>
      <c r="H2" s="8" t="s">
        <v>53</v>
      </c>
      <c r="I2" s="8" t="s">
        <v>54</v>
      </c>
      <c r="J2" s="10" t="n">
        <v>82</v>
      </c>
      <c r="K2" s="8" t="s">
        <v>55</v>
      </c>
      <c r="L2" s="8" t="s">
        <v>56</v>
      </c>
    </row>
    <row r="3" customFormat="false" ht="15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11"/>
      <c r="K3" s="9"/>
      <c r="L3" s="9"/>
    </row>
    <row r="4" customFormat="false" ht="15" hidden="fals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11"/>
      <c r="K4" s="9"/>
      <c r="L4" s="9"/>
    </row>
    <row r="5" customFormat="false" ht="15" hidden="false" customHeight="true" outlineLevel="0" collapsed="false">
      <c r="A5" s="9"/>
      <c r="B5" s="9"/>
      <c r="C5" s="9"/>
      <c r="D5" s="9"/>
      <c r="E5" s="9"/>
      <c r="F5" s="9"/>
      <c r="G5" s="9"/>
      <c r="H5" s="9"/>
      <c r="I5" s="9"/>
      <c r="J5" s="11"/>
      <c r="K5" s="9"/>
      <c r="L5" s="9"/>
    </row>
    <row r="6" customFormat="false" ht="1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11"/>
      <c r="K6" s="9"/>
      <c r="L6" s="9"/>
    </row>
    <row r="7" customFormat="false" ht="1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11"/>
      <c r="K7" s="9"/>
      <c r="L7" s="9"/>
    </row>
    <row r="8" customFormat="false" ht="1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11"/>
      <c r="K8" s="9"/>
      <c r="L8" s="9"/>
    </row>
    <row r="9" customFormat="false" ht="1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11"/>
      <c r="K9" s="9"/>
      <c r="L9" s="9"/>
    </row>
    <row r="10" customFormat="false" ht="1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11"/>
      <c r="K10" s="9"/>
      <c r="L10" s="9"/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11"/>
      <c r="K11" s="9"/>
      <c r="L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11"/>
      <c r="K12" s="9"/>
      <c r="L12" s="9"/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11"/>
      <c r="K13" s="9"/>
      <c r="L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11"/>
      <c r="K14" s="9"/>
      <c r="L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11"/>
      <c r="K15" s="9"/>
      <c r="L15" s="9"/>
    </row>
    <row r="16" customFormat="false" ht="1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11"/>
      <c r="K16" s="9"/>
      <c r="L16" s="9"/>
    </row>
    <row r="17" customFormat="false" ht="1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11"/>
      <c r="K17" s="9"/>
      <c r="L17" s="9"/>
    </row>
    <row r="18" customFormat="false" ht="1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11"/>
      <c r="K18" s="9"/>
      <c r="L18" s="9"/>
    </row>
    <row r="19" customFormat="false" ht="1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11"/>
      <c r="K19" s="9"/>
      <c r="L19" s="9"/>
    </row>
    <row r="20" customFormat="false" ht="1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11"/>
      <c r="K20" s="9"/>
      <c r="L20" s="9"/>
    </row>
    <row r="21" customFormat="false" ht="1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11"/>
      <c r="K21" s="9"/>
      <c r="L21" s="9"/>
    </row>
    <row r="22" customFormat="false" ht="1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11"/>
      <c r="K22" s="9"/>
      <c r="L22" s="9"/>
    </row>
    <row r="23" customFormat="false" ht="1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11"/>
      <c r="K23" s="9"/>
      <c r="L23" s="9"/>
    </row>
    <row r="24" customFormat="false" ht="1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11"/>
      <c r="K24" s="9"/>
      <c r="L24" s="9"/>
    </row>
    <row r="25" customFormat="false" ht="1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11"/>
      <c r="K25" s="9"/>
      <c r="L25" s="9"/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11"/>
      <c r="K26" s="9"/>
      <c r="L26" s="9"/>
    </row>
    <row r="27" customFormat="false" ht="1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11"/>
      <c r="K27" s="9"/>
      <c r="L27" s="9"/>
    </row>
    <row r="28" customFormat="false" ht="1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11"/>
      <c r="K28" s="9"/>
      <c r="L28" s="9"/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11"/>
      <c r="K29" s="9"/>
      <c r="L29" s="9"/>
    </row>
    <row r="30" customFormat="false" ht="1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11"/>
      <c r="K30" s="9"/>
      <c r="L30" s="9"/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11"/>
      <c r="K31" s="9"/>
      <c r="L31" s="9"/>
    </row>
    <row r="32" customFormat="false" ht="1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11"/>
      <c r="K32" s="9"/>
      <c r="L32" s="9"/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11"/>
      <c r="K33" s="9"/>
      <c r="L33" s="9"/>
    </row>
    <row r="34" customFormat="false" ht="1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11"/>
      <c r="K34" s="9"/>
      <c r="L34" s="9"/>
    </row>
    <row r="35" customFormat="false" ht="1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11"/>
      <c r="K35" s="9"/>
      <c r="L35" s="9"/>
    </row>
    <row r="36" customFormat="false" ht="1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11"/>
      <c r="K36" s="9"/>
      <c r="L36" s="9"/>
    </row>
    <row r="37" customFormat="false" ht="1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11"/>
      <c r="K37" s="9"/>
      <c r="L37" s="9"/>
    </row>
    <row r="38" customFormat="false" ht="1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11"/>
      <c r="K38" s="9"/>
      <c r="L38" s="9"/>
    </row>
    <row r="39" customFormat="false" ht="1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11"/>
      <c r="K39" s="9"/>
      <c r="L39" s="9"/>
    </row>
    <row r="40" customFormat="false" ht="15" hidden="false" customHeight="true" outlineLevel="0" collapsed="false">
      <c r="J40" s="12"/>
    </row>
    <row r="41" customFormat="false" ht="15" hidden="false" customHeight="true" outlineLevel="0" collapsed="false">
      <c r="J41" s="12"/>
    </row>
    <row r="42" customFormat="false" ht="15" hidden="false" customHeight="true" outlineLevel="0" collapsed="false">
      <c r="J42" s="12"/>
    </row>
    <row r="43" customFormat="false" ht="15" hidden="false" customHeight="true" outlineLevel="0" collapsed="false">
      <c r="J43" s="12"/>
    </row>
    <row r="44" customFormat="false" ht="15" hidden="false" customHeight="true" outlineLevel="0" collapsed="false">
      <c r="J44" s="12"/>
    </row>
    <row r="45" customFormat="false" ht="15" hidden="false" customHeight="true" outlineLevel="0" collapsed="false">
      <c r="J45" s="12"/>
    </row>
    <row r="46" customFormat="false" ht="15" hidden="false" customHeight="true" outlineLevel="0" collapsed="false">
      <c r="J46" s="12"/>
    </row>
    <row r="47" customFormat="false" ht="15" hidden="false" customHeight="true" outlineLevel="0" collapsed="false">
      <c r="J47" s="12"/>
    </row>
    <row r="48" customFormat="false" ht="15" hidden="false" customHeight="true" outlineLevel="0" collapsed="false">
      <c r="J48" s="12"/>
    </row>
    <row r="49" customFormat="false" ht="15" hidden="false" customHeight="true" outlineLevel="0" collapsed="false">
      <c r="J49" s="12"/>
    </row>
    <row r="50" customFormat="false" ht="15" hidden="false" customHeight="true" outlineLevel="0" collapsed="false">
      <c r="J50" s="12"/>
    </row>
    <row r="51" customFormat="false" ht="15" hidden="false" customHeight="true" outlineLevel="0" collapsed="false">
      <c r="J51" s="12"/>
    </row>
    <row r="52" customFormat="false" ht="15" hidden="false" customHeight="true" outlineLevel="0" collapsed="false">
      <c r="J52" s="12"/>
    </row>
    <row r="53" customFormat="false" ht="15" hidden="false" customHeight="true" outlineLevel="0" collapsed="false">
      <c r="J53" s="12"/>
    </row>
    <row r="54" customFormat="false" ht="15" hidden="false" customHeight="true" outlineLevel="0" collapsed="false">
      <c r="J54" s="12"/>
    </row>
    <row r="55" customFormat="false" ht="15" hidden="false" customHeight="true" outlineLevel="0" collapsed="false">
      <c r="J55" s="12"/>
    </row>
    <row r="56" customFormat="false" ht="15" hidden="false" customHeight="true" outlineLevel="0" collapsed="false">
      <c r="J56" s="12"/>
    </row>
    <row r="57" customFormat="false" ht="15" hidden="false" customHeight="true" outlineLevel="0" collapsed="false">
      <c r="J57" s="12"/>
    </row>
    <row r="58" customFormat="false" ht="15" hidden="false" customHeight="true" outlineLevel="0" collapsed="false">
      <c r="J58" s="12"/>
    </row>
    <row r="59" customFormat="false" ht="15" hidden="false" customHeight="true" outlineLevel="0" collapsed="false">
      <c r="J59" s="12"/>
    </row>
    <row r="60" customFormat="false" ht="15" hidden="false" customHeight="true" outlineLevel="0" collapsed="false">
      <c r="J60" s="12"/>
    </row>
    <row r="61" customFormat="false" ht="15" hidden="false" customHeight="true" outlineLevel="0" collapsed="false">
      <c r="J61" s="12"/>
    </row>
    <row r="62" customFormat="false" ht="15" hidden="false" customHeight="true" outlineLevel="0" collapsed="false">
      <c r="J62" s="12"/>
    </row>
    <row r="63" customFormat="false" ht="15" hidden="false" customHeight="true" outlineLevel="0" collapsed="false">
      <c r="J63" s="12"/>
    </row>
    <row r="64" customFormat="false" ht="15" hidden="false" customHeight="true" outlineLevel="0" collapsed="false">
      <c r="J64" s="12"/>
    </row>
    <row r="65" customFormat="false" ht="15" hidden="false" customHeight="true" outlineLevel="0" collapsed="false">
      <c r="J65" s="12"/>
    </row>
    <row r="66" customFormat="false" ht="15" hidden="false" customHeight="true" outlineLevel="0" collapsed="false">
      <c r="J66" s="12"/>
    </row>
    <row r="67" customFormat="false" ht="15" hidden="false" customHeight="true" outlineLevel="0" collapsed="false">
      <c r="J67" s="12"/>
    </row>
    <row r="68" customFormat="false" ht="15" hidden="false" customHeight="true" outlineLevel="0" collapsed="false">
      <c r="J68" s="12"/>
    </row>
    <row r="69" customFormat="false" ht="15" hidden="false" customHeight="true" outlineLevel="0" collapsed="false">
      <c r="J69" s="12"/>
    </row>
    <row r="70" customFormat="false" ht="15" hidden="false" customHeight="true" outlineLevel="0" collapsed="false">
      <c r="J70" s="12"/>
    </row>
    <row r="71" customFormat="false" ht="15" hidden="false" customHeight="true" outlineLevel="0" collapsed="false">
      <c r="J71" s="12"/>
    </row>
    <row r="72" customFormat="false" ht="15" hidden="false" customHeight="true" outlineLevel="0" collapsed="false">
      <c r="J72" s="12"/>
    </row>
    <row r="73" customFormat="false" ht="15" hidden="false" customHeight="true" outlineLevel="0" collapsed="false">
      <c r="J73" s="12"/>
    </row>
    <row r="74" customFormat="false" ht="15" hidden="false" customHeight="true" outlineLevel="0" collapsed="false">
      <c r="J74" s="12"/>
    </row>
    <row r="75" customFormat="false" ht="15" hidden="false" customHeight="true" outlineLevel="0" collapsed="false">
      <c r="J75" s="12"/>
    </row>
    <row r="76" customFormat="false" ht="15" hidden="false" customHeight="true" outlineLevel="0" collapsed="false">
      <c r="J76" s="12"/>
    </row>
    <row r="77" customFormat="false" ht="15" hidden="false" customHeight="true" outlineLevel="0" collapsed="false">
      <c r="J77" s="12"/>
    </row>
    <row r="78" customFormat="false" ht="15" hidden="false" customHeight="true" outlineLevel="0" collapsed="false">
      <c r="J78" s="12"/>
    </row>
    <row r="79" customFormat="false" ht="15" hidden="false" customHeight="true" outlineLevel="0" collapsed="false">
      <c r="J79" s="12"/>
    </row>
    <row r="80" customFormat="false" ht="15" hidden="false" customHeight="true" outlineLevel="0" collapsed="false">
      <c r="J80" s="12"/>
    </row>
    <row r="81" customFormat="false" ht="15" hidden="false" customHeight="true" outlineLevel="0" collapsed="false">
      <c r="J81" s="12"/>
    </row>
    <row r="82" customFormat="false" ht="15" hidden="false" customHeight="true" outlineLevel="0" collapsed="false">
      <c r="J82" s="12"/>
    </row>
    <row r="83" customFormat="false" ht="15" hidden="false" customHeight="true" outlineLevel="0" collapsed="false">
      <c r="J83" s="12"/>
    </row>
    <row r="84" customFormat="false" ht="15" hidden="false" customHeight="true" outlineLevel="0" collapsed="false">
      <c r="J84" s="12"/>
    </row>
    <row r="85" customFormat="false" ht="15" hidden="false" customHeight="true" outlineLevel="0" collapsed="false">
      <c r="J85" s="12"/>
    </row>
    <row r="86" customFormat="false" ht="15" hidden="false" customHeight="true" outlineLevel="0" collapsed="false">
      <c r="J86" s="12"/>
    </row>
    <row r="87" customFormat="false" ht="15" hidden="false" customHeight="true" outlineLevel="0" collapsed="false">
      <c r="J87" s="12"/>
    </row>
    <row r="88" customFormat="false" ht="15" hidden="false" customHeight="true" outlineLevel="0" collapsed="false">
      <c r="J88" s="12"/>
    </row>
    <row r="89" customFormat="false" ht="15" hidden="false" customHeight="true" outlineLevel="0" collapsed="false">
      <c r="J89" s="12"/>
    </row>
    <row r="90" customFormat="false" ht="15" hidden="false" customHeight="true" outlineLevel="0" collapsed="false">
      <c r="J90" s="12"/>
    </row>
    <row r="91" customFormat="false" ht="15" hidden="false" customHeight="true" outlineLevel="0" collapsed="false">
      <c r="J91" s="12"/>
    </row>
    <row r="92" customFormat="false" ht="15" hidden="false" customHeight="true" outlineLevel="0" collapsed="false">
      <c r="J92" s="12"/>
    </row>
    <row r="93" customFormat="false" ht="15" hidden="false" customHeight="true" outlineLevel="0" collapsed="false">
      <c r="J93" s="12"/>
    </row>
    <row r="94" customFormat="false" ht="15" hidden="false" customHeight="true" outlineLevel="0" collapsed="false">
      <c r="J94" s="12"/>
    </row>
    <row r="95" customFormat="false" ht="15" hidden="false" customHeight="true" outlineLevel="0" collapsed="false">
      <c r="J95" s="12"/>
    </row>
    <row r="96" customFormat="false" ht="15" hidden="false" customHeight="true" outlineLevel="0" collapsed="false">
      <c r="J96" s="12"/>
    </row>
    <row r="97" customFormat="false" ht="15" hidden="false" customHeight="true" outlineLevel="0" collapsed="false">
      <c r="J97" s="12"/>
    </row>
    <row r="98" customFormat="false" ht="15" hidden="false" customHeight="true" outlineLevel="0" collapsed="false">
      <c r="J98" s="12"/>
    </row>
    <row r="99" customFormat="false" ht="15" hidden="false" customHeight="true" outlineLevel="0" collapsed="false">
      <c r="J99" s="12"/>
    </row>
    <row r="100" customFormat="false" ht="15" hidden="false" customHeight="true" outlineLevel="0" collapsed="false">
      <c r="J100" s="12"/>
    </row>
    <row r="101" customFormat="false" ht="15" hidden="false" customHeight="true" outlineLevel="0" collapsed="false">
      <c r="J101" s="12"/>
    </row>
    <row r="102" customFormat="false" ht="15" hidden="false" customHeight="true" outlineLevel="0" collapsed="false">
      <c r="J102" s="12"/>
    </row>
    <row r="103" customFormat="false" ht="15" hidden="false" customHeight="true" outlineLevel="0" collapsed="false">
      <c r="J103" s="12"/>
    </row>
    <row r="104" customFormat="false" ht="15" hidden="false" customHeight="true" outlineLevel="0" collapsed="false">
      <c r="J104" s="12"/>
    </row>
    <row r="105" customFormat="false" ht="15" hidden="false" customHeight="true" outlineLevel="0" collapsed="false">
      <c r="J105" s="12"/>
    </row>
    <row r="106" customFormat="false" ht="15" hidden="false" customHeight="true" outlineLevel="0" collapsed="false">
      <c r="J106" s="12"/>
    </row>
    <row r="107" customFormat="false" ht="15" hidden="false" customHeight="true" outlineLevel="0" collapsed="false">
      <c r="J107" s="12"/>
    </row>
    <row r="108" customFormat="false" ht="15" hidden="false" customHeight="true" outlineLevel="0" collapsed="false">
      <c r="J108" s="12"/>
    </row>
    <row r="109" customFormat="false" ht="15" hidden="false" customHeight="true" outlineLevel="0" collapsed="false">
      <c r="J109" s="12"/>
    </row>
    <row r="110" customFormat="false" ht="15" hidden="false" customHeight="true" outlineLevel="0" collapsed="false">
      <c r="J110" s="12"/>
    </row>
    <row r="111" customFormat="false" ht="15" hidden="false" customHeight="true" outlineLevel="0" collapsed="false">
      <c r="J111" s="12"/>
    </row>
    <row r="112" customFormat="false" ht="15" hidden="false" customHeight="true" outlineLevel="0" collapsed="false">
      <c r="J112" s="12"/>
    </row>
    <row r="113" customFormat="false" ht="15" hidden="false" customHeight="true" outlineLevel="0" collapsed="false">
      <c r="J113" s="12"/>
    </row>
    <row r="114" customFormat="false" ht="15" hidden="false" customHeight="true" outlineLevel="0" collapsed="false">
      <c r="J114" s="12"/>
    </row>
    <row r="115" customFormat="false" ht="15" hidden="false" customHeight="true" outlineLevel="0" collapsed="false">
      <c r="J115" s="12"/>
    </row>
    <row r="116" customFormat="false" ht="15" hidden="false" customHeight="true" outlineLevel="0" collapsed="false">
      <c r="J116" s="12"/>
    </row>
    <row r="117" customFormat="false" ht="15" hidden="false" customHeight="true" outlineLevel="0" collapsed="false">
      <c r="J117" s="12"/>
    </row>
    <row r="118" customFormat="false" ht="15" hidden="false" customHeight="true" outlineLevel="0" collapsed="false">
      <c r="J118" s="12"/>
    </row>
    <row r="119" customFormat="false" ht="15" hidden="false" customHeight="true" outlineLevel="0" collapsed="false">
      <c r="J119" s="12"/>
    </row>
    <row r="120" customFormat="false" ht="15" hidden="false" customHeight="true" outlineLevel="0" collapsed="false">
      <c r="J120" s="12"/>
    </row>
    <row r="121" customFormat="false" ht="15" hidden="false" customHeight="true" outlineLevel="0" collapsed="false">
      <c r="J121" s="12"/>
    </row>
    <row r="122" customFormat="false" ht="15" hidden="false" customHeight="true" outlineLevel="0" collapsed="false">
      <c r="J122" s="12"/>
    </row>
    <row r="123" customFormat="false" ht="15" hidden="false" customHeight="true" outlineLevel="0" collapsed="false">
      <c r="J123" s="12"/>
    </row>
    <row r="124" customFormat="false" ht="15" hidden="false" customHeight="true" outlineLevel="0" collapsed="false">
      <c r="J124" s="12"/>
    </row>
    <row r="125" customFormat="false" ht="15" hidden="false" customHeight="true" outlineLevel="0" collapsed="false">
      <c r="J125" s="12"/>
    </row>
    <row r="126" customFormat="false" ht="15" hidden="false" customHeight="true" outlineLevel="0" collapsed="false">
      <c r="J126" s="12"/>
    </row>
    <row r="127" customFormat="false" ht="15" hidden="false" customHeight="true" outlineLevel="0" collapsed="false">
      <c r="J127" s="12"/>
    </row>
    <row r="128" customFormat="false" ht="15" hidden="false" customHeight="true" outlineLevel="0" collapsed="false">
      <c r="J128" s="12"/>
    </row>
    <row r="129" customFormat="false" ht="15" hidden="false" customHeight="true" outlineLevel="0" collapsed="false">
      <c r="J129" s="12"/>
    </row>
    <row r="130" customFormat="false" ht="15" hidden="false" customHeight="true" outlineLevel="0" collapsed="false">
      <c r="J130" s="12"/>
    </row>
    <row r="131" customFormat="false" ht="15" hidden="false" customHeight="true" outlineLevel="0" collapsed="false">
      <c r="J131" s="12"/>
    </row>
    <row r="132" customFormat="false" ht="15" hidden="false" customHeight="true" outlineLevel="0" collapsed="false">
      <c r="J132" s="12"/>
    </row>
    <row r="133" customFormat="false" ht="15" hidden="false" customHeight="true" outlineLevel="0" collapsed="false">
      <c r="J133" s="12"/>
    </row>
    <row r="134" customFormat="false" ht="15" hidden="false" customHeight="true" outlineLevel="0" collapsed="false">
      <c r="J134" s="12"/>
    </row>
    <row r="135" customFormat="false" ht="15" hidden="false" customHeight="true" outlineLevel="0" collapsed="false">
      <c r="J135" s="12"/>
    </row>
    <row r="136" customFormat="false" ht="15" hidden="false" customHeight="true" outlineLevel="0" collapsed="false">
      <c r="J136" s="12"/>
    </row>
    <row r="137" customFormat="false" ht="15" hidden="false" customHeight="true" outlineLevel="0" collapsed="false">
      <c r="J137" s="12"/>
    </row>
    <row r="138" customFormat="false" ht="15" hidden="false" customHeight="true" outlineLevel="0" collapsed="false">
      <c r="J138" s="12"/>
    </row>
    <row r="139" customFormat="false" ht="15" hidden="false" customHeight="true" outlineLevel="0" collapsed="false">
      <c r="J139" s="12"/>
    </row>
    <row r="140" customFormat="false" ht="15" hidden="false" customHeight="true" outlineLevel="0" collapsed="false">
      <c r="J140" s="12"/>
    </row>
    <row r="141" customFormat="false" ht="15" hidden="false" customHeight="true" outlineLevel="0" collapsed="false">
      <c r="J141" s="12"/>
    </row>
    <row r="142" customFormat="false" ht="15" hidden="false" customHeight="true" outlineLevel="0" collapsed="false">
      <c r="J142" s="12"/>
    </row>
    <row r="143" customFormat="false" ht="15" hidden="false" customHeight="true" outlineLevel="0" collapsed="false">
      <c r="J143" s="12"/>
    </row>
    <row r="144" customFormat="false" ht="15" hidden="false" customHeight="true" outlineLevel="0" collapsed="false">
      <c r="J144" s="12"/>
    </row>
    <row r="145" customFormat="false" ht="15" hidden="false" customHeight="true" outlineLevel="0" collapsed="false">
      <c r="J145" s="12"/>
    </row>
    <row r="146" customFormat="false" ht="15" hidden="false" customHeight="true" outlineLevel="0" collapsed="false">
      <c r="J146" s="12"/>
    </row>
    <row r="147" customFormat="false" ht="15" hidden="false" customHeight="true" outlineLevel="0" collapsed="false">
      <c r="J147" s="12"/>
    </row>
    <row r="148" customFormat="false" ht="15" hidden="false" customHeight="true" outlineLevel="0" collapsed="false">
      <c r="J148" s="12"/>
    </row>
    <row r="149" customFormat="false" ht="15" hidden="false" customHeight="true" outlineLevel="0" collapsed="false">
      <c r="J149" s="12"/>
    </row>
    <row r="150" customFormat="false" ht="15" hidden="false" customHeight="true" outlineLevel="0" collapsed="false">
      <c r="J150" s="12"/>
    </row>
    <row r="151" customFormat="false" ht="15" hidden="false" customHeight="true" outlineLevel="0" collapsed="false">
      <c r="J151" s="12"/>
    </row>
    <row r="152" customFormat="false" ht="15" hidden="false" customHeight="true" outlineLevel="0" collapsed="false">
      <c r="J152" s="12"/>
    </row>
    <row r="153" customFormat="false" ht="15" hidden="false" customHeight="true" outlineLevel="0" collapsed="false">
      <c r="J153" s="12"/>
    </row>
    <row r="154" customFormat="false" ht="15" hidden="false" customHeight="true" outlineLevel="0" collapsed="false">
      <c r="J154" s="12"/>
    </row>
    <row r="155" customFormat="false" ht="15" hidden="false" customHeight="true" outlineLevel="0" collapsed="false">
      <c r="J155" s="12"/>
    </row>
    <row r="156" customFormat="false" ht="15" hidden="false" customHeight="true" outlineLevel="0" collapsed="false">
      <c r="J156" s="12"/>
    </row>
    <row r="157" customFormat="false" ht="15" hidden="false" customHeight="true" outlineLevel="0" collapsed="false">
      <c r="J157" s="12"/>
    </row>
    <row r="158" customFormat="false" ht="15" hidden="false" customHeight="true" outlineLevel="0" collapsed="false">
      <c r="J158" s="12"/>
    </row>
    <row r="159" customFormat="false" ht="15" hidden="false" customHeight="true" outlineLevel="0" collapsed="false">
      <c r="J159" s="12"/>
    </row>
    <row r="160" customFormat="false" ht="15" hidden="false" customHeight="true" outlineLevel="0" collapsed="false">
      <c r="J160" s="12"/>
    </row>
    <row r="161" customFormat="false" ht="15" hidden="false" customHeight="true" outlineLevel="0" collapsed="false">
      <c r="J161" s="12"/>
    </row>
    <row r="162" customFormat="false" ht="15" hidden="false" customHeight="true" outlineLevel="0" collapsed="false">
      <c r="J162" s="12"/>
    </row>
    <row r="163" customFormat="false" ht="15" hidden="false" customHeight="true" outlineLevel="0" collapsed="false">
      <c r="J163" s="12"/>
    </row>
    <row r="164" customFormat="false" ht="15" hidden="false" customHeight="true" outlineLevel="0" collapsed="false">
      <c r="J164" s="12"/>
    </row>
    <row r="165" customFormat="false" ht="15" hidden="false" customHeight="true" outlineLevel="0" collapsed="false">
      <c r="J165" s="12"/>
    </row>
    <row r="166" customFormat="false" ht="15" hidden="false" customHeight="true" outlineLevel="0" collapsed="false">
      <c r="J166" s="12"/>
    </row>
    <row r="167" customFormat="false" ht="15" hidden="false" customHeight="true" outlineLevel="0" collapsed="false">
      <c r="J167" s="12"/>
    </row>
    <row r="168" customFormat="false" ht="15" hidden="false" customHeight="true" outlineLevel="0" collapsed="false">
      <c r="J168" s="12"/>
    </row>
    <row r="169" customFormat="false" ht="15" hidden="false" customHeight="true" outlineLevel="0" collapsed="false">
      <c r="J169" s="12"/>
    </row>
    <row r="170" customFormat="false" ht="15" hidden="false" customHeight="true" outlineLevel="0" collapsed="false">
      <c r="J170" s="12"/>
    </row>
    <row r="171" customFormat="false" ht="15" hidden="false" customHeight="true" outlineLevel="0" collapsed="false">
      <c r="J171" s="12"/>
    </row>
    <row r="172" customFormat="false" ht="15" hidden="false" customHeight="true" outlineLevel="0" collapsed="false">
      <c r="J172" s="12"/>
    </row>
    <row r="173" customFormat="false" ht="15" hidden="false" customHeight="true" outlineLevel="0" collapsed="false">
      <c r="J173" s="12"/>
    </row>
    <row r="174" customFormat="false" ht="15" hidden="false" customHeight="true" outlineLevel="0" collapsed="false">
      <c r="J174" s="12"/>
    </row>
    <row r="175" customFormat="false" ht="15" hidden="false" customHeight="true" outlineLevel="0" collapsed="false">
      <c r="J175" s="12"/>
    </row>
    <row r="176" customFormat="false" ht="15" hidden="false" customHeight="true" outlineLevel="0" collapsed="false">
      <c r="J176" s="12"/>
    </row>
    <row r="177" customFormat="false" ht="15" hidden="false" customHeight="true" outlineLevel="0" collapsed="false">
      <c r="J177" s="12"/>
    </row>
    <row r="178" customFormat="false" ht="15" hidden="false" customHeight="true" outlineLevel="0" collapsed="false">
      <c r="J178" s="12"/>
    </row>
    <row r="179" customFormat="false" ht="15" hidden="false" customHeight="true" outlineLevel="0" collapsed="false">
      <c r="J179" s="12"/>
    </row>
    <row r="180" customFormat="false" ht="15" hidden="false" customHeight="true" outlineLevel="0" collapsed="false">
      <c r="J180" s="12"/>
    </row>
    <row r="181" customFormat="false" ht="15" hidden="false" customHeight="true" outlineLevel="0" collapsed="false">
      <c r="J181" s="12"/>
    </row>
    <row r="182" customFormat="false" ht="15" hidden="false" customHeight="true" outlineLevel="0" collapsed="false">
      <c r="J182" s="12"/>
    </row>
    <row r="183" customFormat="false" ht="15" hidden="false" customHeight="true" outlineLevel="0" collapsed="false">
      <c r="J183" s="12"/>
    </row>
    <row r="184" customFormat="false" ht="15" hidden="false" customHeight="true" outlineLevel="0" collapsed="false">
      <c r="J184" s="12"/>
    </row>
    <row r="185" customFormat="false" ht="15" hidden="false" customHeight="true" outlineLevel="0" collapsed="false">
      <c r="J185" s="12"/>
    </row>
    <row r="186" customFormat="false" ht="15" hidden="false" customHeight="true" outlineLevel="0" collapsed="false">
      <c r="J186" s="12"/>
    </row>
    <row r="187" customFormat="false" ht="15" hidden="false" customHeight="true" outlineLevel="0" collapsed="false">
      <c r="J187" s="12"/>
    </row>
    <row r="188" customFormat="false" ht="15" hidden="false" customHeight="true" outlineLevel="0" collapsed="false">
      <c r="J188" s="12"/>
    </row>
    <row r="189" customFormat="false" ht="15" hidden="false" customHeight="true" outlineLevel="0" collapsed="false">
      <c r="J189" s="12"/>
    </row>
    <row r="190" customFormat="false" ht="15" hidden="false" customHeight="true" outlineLevel="0" collapsed="false">
      <c r="J190" s="12"/>
    </row>
    <row r="191" customFormat="false" ht="15" hidden="false" customHeight="true" outlineLevel="0" collapsed="false">
      <c r="J191" s="12"/>
    </row>
    <row r="192" customFormat="false" ht="15" hidden="false" customHeight="true" outlineLevel="0" collapsed="false">
      <c r="J192" s="12"/>
    </row>
    <row r="193" customFormat="false" ht="15" hidden="false" customHeight="true" outlineLevel="0" collapsed="false">
      <c r="J193" s="12"/>
    </row>
    <row r="194" customFormat="false" ht="15" hidden="false" customHeight="true" outlineLevel="0" collapsed="false">
      <c r="J194" s="12"/>
    </row>
    <row r="195" customFormat="false" ht="15" hidden="false" customHeight="true" outlineLevel="0" collapsed="false">
      <c r="J195" s="12"/>
    </row>
    <row r="196" customFormat="false" ht="15" hidden="false" customHeight="true" outlineLevel="0" collapsed="false">
      <c r="J196" s="12"/>
    </row>
    <row r="197" customFormat="false" ht="15" hidden="false" customHeight="true" outlineLevel="0" collapsed="false">
      <c r="J197" s="12"/>
    </row>
    <row r="198" customFormat="false" ht="15" hidden="false" customHeight="true" outlineLevel="0" collapsed="false">
      <c r="J198" s="12"/>
    </row>
    <row r="199" customFormat="false" ht="15" hidden="false" customHeight="true" outlineLevel="0" collapsed="false">
      <c r="J199" s="12"/>
    </row>
    <row r="200" customFormat="false" ht="15" hidden="false" customHeight="true" outlineLevel="0" collapsed="false">
      <c r="J200" s="12"/>
    </row>
    <row r="201" customFormat="false" ht="15" hidden="false" customHeight="true" outlineLevel="0" collapsed="false">
      <c r="J201" s="12"/>
    </row>
    <row r="202" customFormat="false" ht="15" hidden="false" customHeight="true" outlineLevel="0" collapsed="false">
      <c r="J202" s="12"/>
    </row>
    <row r="203" customFormat="false" ht="15" hidden="false" customHeight="true" outlineLevel="0" collapsed="false">
      <c r="J203" s="12"/>
    </row>
    <row r="204" customFormat="false" ht="15" hidden="false" customHeight="true" outlineLevel="0" collapsed="false">
      <c r="J204" s="12"/>
    </row>
    <row r="205" customFormat="false" ht="15" hidden="false" customHeight="true" outlineLevel="0" collapsed="false">
      <c r="J205" s="12"/>
    </row>
    <row r="206" customFormat="false" ht="15" hidden="false" customHeight="true" outlineLevel="0" collapsed="false">
      <c r="J206" s="12"/>
    </row>
    <row r="207" customFormat="false" ht="15" hidden="false" customHeight="true" outlineLevel="0" collapsed="false">
      <c r="J207" s="12"/>
    </row>
    <row r="208" customFormat="false" ht="15" hidden="false" customHeight="true" outlineLevel="0" collapsed="false">
      <c r="J208" s="12"/>
    </row>
    <row r="209" customFormat="false" ht="15" hidden="false" customHeight="true" outlineLevel="0" collapsed="false">
      <c r="J209" s="12"/>
    </row>
    <row r="210" customFormat="false" ht="15" hidden="false" customHeight="true" outlineLevel="0" collapsed="false">
      <c r="J210" s="12"/>
    </row>
    <row r="211" customFormat="false" ht="15" hidden="false" customHeight="true" outlineLevel="0" collapsed="false">
      <c r="J211" s="12"/>
    </row>
    <row r="212" customFormat="false" ht="15" hidden="false" customHeight="true" outlineLevel="0" collapsed="false">
      <c r="J212" s="12"/>
    </row>
    <row r="213" customFormat="false" ht="15" hidden="false" customHeight="true" outlineLevel="0" collapsed="false">
      <c r="J213" s="12"/>
    </row>
    <row r="214" customFormat="false" ht="15" hidden="false" customHeight="true" outlineLevel="0" collapsed="false">
      <c r="J214" s="12"/>
    </row>
    <row r="215" customFormat="false" ht="15" hidden="false" customHeight="true" outlineLevel="0" collapsed="false">
      <c r="J215" s="12"/>
    </row>
    <row r="216" customFormat="false" ht="15" hidden="false" customHeight="true" outlineLevel="0" collapsed="false">
      <c r="J216" s="12"/>
    </row>
    <row r="217" customFormat="false" ht="15" hidden="false" customHeight="true" outlineLevel="0" collapsed="false">
      <c r="J217" s="12"/>
    </row>
    <row r="218" customFormat="false" ht="15" hidden="false" customHeight="true" outlineLevel="0" collapsed="false">
      <c r="J218" s="12"/>
    </row>
    <row r="219" customFormat="false" ht="15" hidden="false" customHeight="true" outlineLevel="0" collapsed="false">
      <c r="J219" s="12"/>
    </row>
    <row r="220" customFormat="false" ht="15" hidden="false" customHeight="true" outlineLevel="0" collapsed="false">
      <c r="J220" s="12"/>
    </row>
    <row r="221" customFormat="false" ht="15" hidden="false" customHeight="true" outlineLevel="0" collapsed="false">
      <c r="J221" s="12"/>
    </row>
    <row r="222" customFormat="false" ht="15" hidden="false" customHeight="true" outlineLevel="0" collapsed="false">
      <c r="J222" s="12"/>
    </row>
    <row r="223" customFormat="false" ht="15" hidden="false" customHeight="true" outlineLevel="0" collapsed="false">
      <c r="J223" s="12"/>
    </row>
    <row r="224" customFormat="false" ht="15" hidden="false" customHeight="true" outlineLevel="0" collapsed="false">
      <c r="J224" s="12"/>
    </row>
    <row r="225" customFormat="false" ht="15" hidden="false" customHeight="true" outlineLevel="0" collapsed="false">
      <c r="J225" s="12"/>
    </row>
    <row r="226" customFormat="false" ht="15" hidden="false" customHeight="true" outlineLevel="0" collapsed="false">
      <c r="J226" s="12"/>
    </row>
    <row r="227" customFormat="false" ht="15" hidden="false" customHeight="true" outlineLevel="0" collapsed="false">
      <c r="J227" s="12"/>
    </row>
    <row r="228" customFormat="false" ht="15" hidden="false" customHeight="true" outlineLevel="0" collapsed="false">
      <c r="J228" s="12"/>
    </row>
    <row r="229" customFormat="false" ht="15" hidden="false" customHeight="true" outlineLevel="0" collapsed="false">
      <c r="J229" s="12"/>
    </row>
    <row r="230" customFormat="false" ht="15" hidden="false" customHeight="true" outlineLevel="0" collapsed="false">
      <c r="J230" s="12"/>
    </row>
    <row r="231" customFormat="false" ht="15" hidden="false" customHeight="true" outlineLevel="0" collapsed="false">
      <c r="J231" s="12"/>
    </row>
    <row r="232" customFormat="false" ht="15" hidden="false" customHeight="true" outlineLevel="0" collapsed="false">
      <c r="J232" s="12"/>
    </row>
    <row r="233" customFormat="false" ht="15" hidden="false" customHeight="true" outlineLevel="0" collapsed="false">
      <c r="J233" s="12"/>
    </row>
    <row r="234" customFormat="false" ht="15" hidden="false" customHeight="true" outlineLevel="0" collapsed="false">
      <c r="J234" s="12"/>
    </row>
    <row r="235" customFormat="false" ht="15" hidden="false" customHeight="true" outlineLevel="0" collapsed="false">
      <c r="J235" s="12"/>
    </row>
    <row r="236" customFormat="false" ht="15" hidden="false" customHeight="true" outlineLevel="0" collapsed="false">
      <c r="J236" s="12"/>
    </row>
    <row r="237" customFormat="false" ht="15" hidden="false" customHeight="true" outlineLevel="0" collapsed="false">
      <c r="J237" s="12"/>
    </row>
    <row r="238" customFormat="false" ht="15" hidden="false" customHeight="true" outlineLevel="0" collapsed="false">
      <c r="J238" s="12"/>
    </row>
    <row r="239" customFormat="false" ht="15" hidden="false" customHeight="true" outlineLevel="0" collapsed="false">
      <c r="J239" s="12"/>
    </row>
    <row r="240" customFormat="false" ht="15" hidden="false" customHeight="true" outlineLevel="0" collapsed="false">
      <c r="J240" s="12"/>
    </row>
    <row r="241" customFormat="false" ht="15" hidden="false" customHeight="true" outlineLevel="0" collapsed="false">
      <c r="J241" s="12"/>
    </row>
    <row r="242" customFormat="false" ht="15" hidden="false" customHeight="true" outlineLevel="0" collapsed="false">
      <c r="J242" s="12"/>
    </row>
    <row r="243" customFormat="false" ht="15" hidden="false" customHeight="true" outlineLevel="0" collapsed="false">
      <c r="J243" s="12"/>
    </row>
    <row r="244" customFormat="false" ht="15" hidden="false" customHeight="true" outlineLevel="0" collapsed="false">
      <c r="J244" s="12"/>
    </row>
    <row r="245" customFormat="false" ht="15" hidden="false" customHeight="true" outlineLevel="0" collapsed="false">
      <c r="J245" s="12"/>
    </row>
    <row r="246" customFormat="false" ht="15" hidden="false" customHeight="true" outlineLevel="0" collapsed="false">
      <c r="J246" s="12"/>
    </row>
    <row r="247" customFormat="false" ht="15" hidden="false" customHeight="true" outlineLevel="0" collapsed="false">
      <c r="J247" s="12"/>
    </row>
    <row r="248" customFormat="false" ht="15" hidden="false" customHeight="true" outlineLevel="0" collapsed="false">
      <c r="J248" s="12"/>
    </row>
    <row r="249" customFormat="false" ht="15" hidden="false" customHeight="true" outlineLevel="0" collapsed="false">
      <c r="J249" s="12"/>
    </row>
    <row r="250" customFormat="false" ht="15" hidden="false" customHeight="true" outlineLevel="0" collapsed="false">
      <c r="J250" s="12"/>
    </row>
    <row r="251" customFormat="false" ht="15" hidden="false" customHeight="true" outlineLevel="0" collapsed="false">
      <c r="J251" s="12"/>
    </row>
    <row r="252" customFormat="false" ht="15" hidden="false" customHeight="true" outlineLevel="0" collapsed="false">
      <c r="J252" s="12"/>
    </row>
    <row r="253" customFormat="false" ht="15" hidden="false" customHeight="true" outlineLevel="0" collapsed="false">
      <c r="J253" s="12"/>
    </row>
    <row r="254" customFormat="false" ht="15" hidden="false" customHeight="true" outlineLevel="0" collapsed="false">
      <c r="J254" s="12"/>
    </row>
    <row r="255" customFormat="false" ht="15" hidden="false" customHeight="true" outlineLevel="0" collapsed="false">
      <c r="J255" s="12"/>
    </row>
    <row r="256" customFormat="false" ht="15" hidden="false" customHeight="true" outlineLevel="0" collapsed="false">
      <c r="J256" s="12"/>
    </row>
    <row r="257" customFormat="false" ht="15" hidden="false" customHeight="true" outlineLevel="0" collapsed="false">
      <c r="J257" s="12"/>
    </row>
    <row r="258" customFormat="false" ht="15" hidden="false" customHeight="true" outlineLevel="0" collapsed="false">
      <c r="J258" s="12"/>
    </row>
    <row r="259" customFormat="false" ht="15" hidden="false" customHeight="true" outlineLevel="0" collapsed="false">
      <c r="J259" s="12"/>
    </row>
    <row r="260" customFormat="false" ht="15" hidden="false" customHeight="true" outlineLevel="0" collapsed="false">
      <c r="J260" s="12"/>
    </row>
    <row r="261" customFormat="false" ht="15" hidden="false" customHeight="true" outlineLevel="0" collapsed="false">
      <c r="J261" s="12"/>
    </row>
    <row r="262" customFormat="false" ht="15" hidden="false" customHeight="true" outlineLevel="0" collapsed="false">
      <c r="J262" s="12"/>
    </row>
    <row r="263" customFormat="false" ht="15" hidden="false" customHeight="true" outlineLevel="0" collapsed="false">
      <c r="J263" s="12"/>
    </row>
    <row r="264" customFormat="false" ht="15" hidden="false" customHeight="true" outlineLevel="0" collapsed="false">
      <c r="J264" s="12"/>
    </row>
    <row r="265" customFormat="false" ht="15" hidden="false" customHeight="true" outlineLevel="0" collapsed="false">
      <c r="J265" s="12"/>
    </row>
    <row r="266" customFormat="false" ht="15" hidden="false" customHeight="true" outlineLevel="0" collapsed="false">
      <c r="J266" s="12"/>
    </row>
    <row r="267" customFormat="false" ht="15" hidden="false" customHeight="true" outlineLevel="0" collapsed="false">
      <c r="J267" s="12"/>
    </row>
    <row r="268" customFormat="false" ht="15" hidden="false" customHeight="true" outlineLevel="0" collapsed="false">
      <c r="J268" s="12"/>
    </row>
    <row r="269" customFormat="false" ht="15" hidden="false" customHeight="true" outlineLevel="0" collapsed="false">
      <c r="J269" s="12"/>
    </row>
    <row r="270" customFormat="false" ht="15" hidden="false" customHeight="true" outlineLevel="0" collapsed="false">
      <c r="J270" s="12"/>
    </row>
    <row r="271" customFormat="false" ht="15" hidden="false" customHeight="true" outlineLevel="0" collapsed="false">
      <c r="J271" s="12"/>
    </row>
    <row r="272" customFormat="false" ht="15" hidden="false" customHeight="true" outlineLevel="0" collapsed="false">
      <c r="J272" s="12"/>
    </row>
    <row r="273" customFormat="false" ht="15" hidden="false" customHeight="true" outlineLevel="0" collapsed="false">
      <c r="J273" s="12"/>
    </row>
    <row r="274" customFormat="false" ht="15" hidden="false" customHeight="true" outlineLevel="0" collapsed="false">
      <c r="J274" s="12"/>
    </row>
    <row r="275" customFormat="false" ht="15" hidden="false" customHeight="true" outlineLevel="0" collapsed="false">
      <c r="J275" s="12"/>
    </row>
    <row r="276" customFormat="false" ht="15" hidden="false" customHeight="true" outlineLevel="0" collapsed="false">
      <c r="J276" s="12"/>
    </row>
    <row r="277" customFormat="false" ht="15" hidden="false" customHeight="true" outlineLevel="0" collapsed="false">
      <c r="J277" s="12"/>
    </row>
    <row r="278" customFormat="false" ht="15" hidden="false" customHeight="true" outlineLevel="0" collapsed="false">
      <c r="J278" s="12"/>
    </row>
    <row r="279" customFormat="false" ht="15" hidden="false" customHeight="true" outlineLevel="0" collapsed="false">
      <c r="J279" s="12"/>
    </row>
    <row r="280" customFormat="false" ht="15" hidden="false" customHeight="true" outlineLevel="0" collapsed="false">
      <c r="J280" s="12"/>
    </row>
    <row r="281" customFormat="false" ht="15" hidden="false" customHeight="true" outlineLevel="0" collapsed="false">
      <c r="J281" s="12"/>
    </row>
    <row r="282" customFormat="false" ht="15" hidden="false" customHeight="true" outlineLevel="0" collapsed="false">
      <c r="J282" s="12"/>
    </row>
    <row r="283" customFormat="false" ht="15" hidden="false" customHeight="true" outlineLevel="0" collapsed="false">
      <c r="J283" s="12"/>
    </row>
    <row r="284" customFormat="false" ht="15" hidden="false" customHeight="true" outlineLevel="0" collapsed="false">
      <c r="J284" s="12"/>
    </row>
    <row r="285" customFormat="false" ht="15" hidden="false" customHeight="true" outlineLevel="0" collapsed="false">
      <c r="J285" s="12"/>
    </row>
    <row r="286" customFormat="false" ht="15" hidden="false" customHeight="true" outlineLevel="0" collapsed="false">
      <c r="J286" s="12"/>
    </row>
    <row r="287" customFormat="false" ht="15" hidden="false" customHeight="true" outlineLevel="0" collapsed="false">
      <c r="J287" s="12"/>
    </row>
    <row r="288" customFormat="false" ht="15" hidden="false" customHeight="true" outlineLevel="0" collapsed="false">
      <c r="J288" s="12"/>
    </row>
    <row r="289" customFormat="false" ht="15" hidden="false" customHeight="true" outlineLevel="0" collapsed="false">
      <c r="J289" s="12"/>
    </row>
    <row r="290" customFormat="false" ht="15" hidden="false" customHeight="true" outlineLevel="0" collapsed="false">
      <c r="J290" s="12"/>
    </row>
    <row r="291" customFormat="false" ht="15" hidden="false" customHeight="true" outlineLevel="0" collapsed="false">
      <c r="J291" s="12"/>
    </row>
    <row r="292" customFormat="false" ht="15" hidden="false" customHeight="true" outlineLevel="0" collapsed="false">
      <c r="J292" s="12"/>
    </row>
    <row r="293" customFormat="false" ht="15" hidden="false" customHeight="true" outlineLevel="0" collapsed="false">
      <c r="J293" s="12"/>
    </row>
    <row r="294" customFormat="false" ht="15" hidden="false" customHeight="true" outlineLevel="0" collapsed="false">
      <c r="J294" s="12"/>
    </row>
    <row r="295" customFormat="false" ht="15" hidden="false" customHeight="true" outlineLevel="0" collapsed="false">
      <c r="J295" s="12"/>
    </row>
    <row r="296" customFormat="false" ht="15" hidden="false" customHeight="true" outlineLevel="0" collapsed="false">
      <c r="J296" s="12"/>
    </row>
    <row r="297" customFormat="false" ht="15" hidden="false" customHeight="true" outlineLevel="0" collapsed="false">
      <c r="J297" s="12"/>
    </row>
    <row r="298" customFormat="false" ht="15" hidden="false" customHeight="true" outlineLevel="0" collapsed="false">
      <c r="J298" s="12"/>
    </row>
    <row r="299" customFormat="false" ht="15" hidden="false" customHeight="true" outlineLevel="0" collapsed="false">
      <c r="J299" s="12"/>
    </row>
    <row r="300" customFormat="false" ht="15" hidden="false" customHeight="true" outlineLevel="0" collapsed="false">
      <c r="J300" s="12"/>
    </row>
    <row r="301" customFormat="false" ht="15" hidden="false" customHeight="true" outlineLevel="0" collapsed="false">
      <c r="J301" s="12"/>
    </row>
    <row r="302" customFormat="false" ht="15" hidden="false" customHeight="true" outlineLevel="0" collapsed="false">
      <c r="J302" s="12"/>
    </row>
    <row r="303" customFormat="false" ht="15" hidden="false" customHeight="true" outlineLevel="0" collapsed="false">
      <c r="J303" s="12"/>
    </row>
    <row r="304" customFormat="false" ht="15" hidden="false" customHeight="true" outlineLevel="0" collapsed="false">
      <c r="J304" s="12"/>
    </row>
    <row r="305" customFormat="false" ht="15" hidden="false" customHeight="true" outlineLevel="0" collapsed="false">
      <c r="J305" s="12"/>
    </row>
    <row r="306" customFormat="false" ht="15" hidden="false" customHeight="true" outlineLevel="0" collapsed="false">
      <c r="J306" s="12"/>
    </row>
    <row r="307" customFormat="false" ht="15" hidden="false" customHeight="true" outlineLevel="0" collapsed="false">
      <c r="J307" s="12"/>
    </row>
    <row r="308" customFormat="false" ht="15" hidden="false" customHeight="true" outlineLevel="0" collapsed="false">
      <c r="J308" s="12"/>
    </row>
    <row r="309" customFormat="false" ht="15" hidden="false" customHeight="true" outlineLevel="0" collapsed="false">
      <c r="J309" s="12"/>
    </row>
    <row r="310" customFormat="false" ht="15" hidden="false" customHeight="true" outlineLevel="0" collapsed="false">
      <c r="J310" s="12"/>
    </row>
    <row r="311" customFormat="false" ht="15" hidden="false" customHeight="true" outlineLevel="0" collapsed="false">
      <c r="J311" s="12"/>
    </row>
    <row r="312" customFormat="false" ht="15" hidden="false" customHeight="true" outlineLevel="0" collapsed="false">
      <c r="J312" s="12"/>
    </row>
    <row r="313" customFormat="false" ht="15" hidden="false" customHeight="true" outlineLevel="0" collapsed="false">
      <c r="J313" s="12"/>
    </row>
    <row r="314" customFormat="false" ht="15" hidden="false" customHeight="true" outlineLevel="0" collapsed="false">
      <c r="J314" s="12"/>
    </row>
    <row r="315" customFormat="false" ht="15" hidden="false" customHeight="true" outlineLevel="0" collapsed="false">
      <c r="J315" s="12"/>
    </row>
    <row r="316" customFormat="false" ht="15" hidden="false" customHeight="true" outlineLevel="0" collapsed="false">
      <c r="J316" s="12"/>
    </row>
    <row r="317" customFormat="false" ht="15" hidden="false" customHeight="true" outlineLevel="0" collapsed="false">
      <c r="J317" s="12"/>
    </row>
    <row r="318" customFormat="false" ht="15" hidden="false" customHeight="true" outlineLevel="0" collapsed="false">
      <c r="J318" s="12"/>
    </row>
    <row r="319" customFormat="false" ht="15" hidden="false" customHeight="true" outlineLevel="0" collapsed="false">
      <c r="J319" s="12"/>
    </row>
    <row r="320" customFormat="false" ht="15" hidden="false" customHeight="true" outlineLevel="0" collapsed="false">
      <c r="J320" s="12"/>
    </row>
    <row r="321" customFormat="false" ht="15" hidden="false" customHeight="true" outlineLevel="0" collapsed="false">
      <c r="J321" s="12"/>
    </row>
    <row r="322" customFormat="false" ht="15" hidden="false" customHeight="true" outlineLevel="0" collapsed="false">
      <c r="J322" s="12"/>
    </row>
    <row r="323" customFormat="false" ht="15" hidden="false" customHeight="true" outlineLevel="0" collapsed="false">
      <c r="J323" s="12"/>
    </row>
    <row r="324" customFormat="false" ht="15" hidden="false" customHeight="true" outlineLevel="0" collapsed="false">
      <c r="J324" s="12"/>
    </row>
    <row r="325" customFormat="false" ht="15" hidden="false" customHeight="true" outlineLevel="0" collapsed="false">
      <c r="J325" s="12"/>
    </row>
    <row r="326" customFormat="false" ht="15" hidden="false" customHeight="true" outlineLevel="0" collapsed="false">
      <c r="J326" s="12"/>
    </row>
    <row r="327" customFormat="false" ht="15" hidden="false" customHeight="true" outlineLevel="0" collapsed="false">
      <c r="J327" s="12"/>
    </row>
    <row r="328" customFormat="false" ht="15" hidden="false" customHeight="true" outlineLevel="0" collapsed="false">
      <c r="J328" s="12"/>
    </row>
    <row r="329" customFormat="false" ht="15" hidden="false" customHeight="true" outlineLevel="0" collapsed="false">
      <c r="J329" s="12"/>
    </row>
    <row r="330" customFormat="false" ht="15" hidden="false" customHeight="true" outlineLevel="0" collapsed="false">
      <c r="J330" s="12"/>
    </row>
    <row r="331" customFormat="false" ht="15" hidden="false" customHeight="true" outlineLevel="0" collapsed="false">
      <c r="J331" s="12"/>
    </row>
    <row r="332" customFormat="false" ht="15" hidden="false" customHeight="true" outlineLevel="0" collapsed="false">
      <c r="J332" s="12"/>
    </row>
    <row r="333" customFormat="false" ht="15" hidden="false" customHeight="true" outlineLevel="0" collapsed="false">
      <c r="J333" s="12"/>
    </row>
    <row r="334" customFormat="false" ht="15" hidden="false" customHeight="true" outlineLevel="0" collapsed="false">
      <c r="J334" s="12"/>
    </row>
    <row r="335" customFormat="false" ht="15" hidden="false" customHeight="true" outlineLevel="0" collapsed="false">
      <c r="J335" s="12"/>
    </row>
    <row r="336" customFormat="false" ht="15" hidden="false" customHeight="true" outlineLevel="0" collapsed="false">
      <c r="J336" s="12"/>
    </row>
    <row r="337" customFormat="false" ht="15" hidden="false" customHeight="true" outlineLevel="0" collapsed="false">
      <c r="J337" s="12"/>
    </row>
    <row r="338" customFormat="false" ht="15" hidden="false" customHeight="true" outlineLevel="0" collapsed="false">
      <c r="J338" s="12"/>
    </row>
    <row r="339" customFormat="false" ht="15" hidden="false" customHeight="true" outlineLevel="0" collapsed="false">
      <c r="J339" s="12"/>
    </row>
    <row r="340" customFormat="false" ht="15" hidden="false" customHeight="true" outlineLevel="0" collapsed="false">
      <c r="J340" s="12"/>
    </row>
    <row r="341" customFormat="false" ht="15" hidden="false" customHeight="true" outlineLevel="0" collapsed="false">
      <c r="J341" s="12"/>
    </row>
    <row r="342" customFormat="false" ht="15" hidden="false" customHeight="true" outlineLevel="0" collapsed="false">
      <c r="J342" s="12"/>
    </row>
    <row r="343" customFormat="false" ht="15" hidden="false" customHeight="true" outlineLevel="0" collapsed="false">
      <c r="J343" s="12"/>
    </row>
    <row r="344" customFormat="false" ht="15" hidden="false" customHeight="true" outlineLevel="0" collapsed="false">
      <c r="J344" s="12"/>
    </row>
    <row r="345" customFormat="false" ht="15" hidden="false" customHeight="true" outlineLevel="0" collapsed="false">
      <c r="J345" s="12"/>
    </row>
    <row r="346" customFormat="false" ht="15" hidden="false" customHeight="true" outlineLevel="0" collapsed="false">
      <c r="J346" s="12"/>
    </row>
    <row r="347" customFormat="false" ht="15" hidden="false" customHeight="true" outlineLevel="0" collapsed="false">
      <c r="J347" s="12"/>
    </row>
    <row r="348" customFormat="false" ht="15" hidden="false" customHeight="true" outlineLevel="0" collapsed="false">
      <c r="J348" s="12"/>
    </row>
    <row r="349" customFormat="false" ht="15" hidden="false" customHeight="true" outlineLevel="0" collapsed="false">
      <c r="J349" s="12"/>
    </row>
    <row r="350" customFormat="false" ht="15" hidden="false" customHeight="true" outlineLevel="0" collapsed="false">
      <c r="J350" s="12"/>
    </row>
    <row r="351" customFormat="false" ht="15" hidden="false" customHeight="true" outlineLevel="0" collapsed="false">
      <c r="J351" s="12"/>
    </row>
    <row r="352" customFormat="false" ht="15" hidden="false" customHeight="true" outlineLevel="0" collapsed="false">
      <c r="J352" s="12"/>
    </row>
    <row r="353" customFormat="false" ht="15" hidden="false" customHeight="true" outlineLevel="0" collapsed="false">
      <c r="J353" s="12"/>
    </row>
    <row r="354" customFormat="false" ht="15" hidden="false" customHeight="true" outlineLevel="0" collapsed="false">
      <c r="J354" s="12"/>
    </row>
    <row r="355" customFormat="false" ht="15" hidden="false" customHeight="true" outlineLevel="0" collapsed="false">
      <c r="J355" s="12"/>
    </row>
    <row r="356" customFormat="false" ht="15" hidden="false" customHeight="true" outlineLevel="0" collapsed="false">
      <c r="J356" s="12"/>
    </row>
    <row r="357" customFormat="false" ht="15" hidden="false" customHeight="true" outlineLevel="0" collapsed="false">
      <c r="J357" s="12"/>
    </row>
    <row r="358" customFormat="false" ht="15" hidden="false" customHeight="true" outlineLevel="0" collapsed="false">
      <c r="J358" s="12"/>
    </row>
    <row r="359" customFormat="false" ht="15" hidden="false" customHeight="true" outlineLevel="0" collapsed="false">
      <c r="J359" s="12"/>
    </row>
    <row r="360" customFormat="false" ht="15" hidden="false" customHeight="true" outlineLevel="0" collapsed="false">
      <c r="J360" s="12"/>
    </row>
    <row r="361" customFormat="false" ht="15" hidden="false" customHeight="true" outlineLevel="0" collapsed="false">
      <c r="J361" s="12"/>
    </row>
    <row r="362" customFormat="false" ht="15" hidden="false" customHeight="true" outlineLevel="0" collapsed="false">
      <c r="J362" s="12"/>
    </row>
    <row r="363" customFormat="false" ht="15" hidden="false" customHeight="true" outlineLevel="0" collapsed="false">
      <c r="J363" s="12"/>
    </row>
    <row r="364" customFormat="false" ht="15" hidden="false" customHeight="true" outlineLevel="0" collapsed="false">
      <c r="J364" s="12"/>
    </row>
    <row r="365" customFormat="false" ht="15" hidden="false" customHeight="true" outlineLevel="0" collapsed="false">
      <c r="J365" s="12"/>
    </row>
    <row r="366" customFormat="false" ht="15" hidden="false" customHeight="true" outlineLevel="0" collapsed="false">
      <c r="J366" s="12"/>
    </row>
    <row r="367" customFormat="false" ht="15" hidden="false" customHeight="true" outlineLevel="0" collapsed="false">
      <c r="J367" s="12"/>
    </row>
    <row r="368" customFormat="false" ht="15" hidden="false" customHeight="true" outlineLevel="0" collapsed="false">
      <c r="J368" s="12"/>
    </row>
    <row r="369" customFormat="false" ht="15" hidden="false" customHeight="true" outlineLevel="0" collapsed="false">
      <c r="J369" s="12"/>
    </row>
    <row r="370" customFormat="false" ht="15" hidden="false" customHeight="true" outlineLevel="0" collapsed="false">
      <c r="J370" s="12"/>
    </row>
    <row r="371" customFormat="false" ht="15" hidden="false" customHeight="true" outlineLevel="0" collapsed="false">
      <c r="J371" s="12"/>
    </row>
    <row r="372" customFormat="false" ht="15" hidden="false" customHeight="true" outlineLevel="0" collapsed="false">
      <c r="J372" s="12"/>
    </row>
    <row r="373" customFormat="false" ht="15" hidden="false" customHeight="true" outlineLevel="0" collapsed="false">
      <c r="J373" s="12"/>
    </row>
    <row r="374" customFormat="false" ht="15" hidden="false" customHeight="true" outlineLevel="0" collapsed="false">
      <c r="J374" s="12"/>
    </row>
    <row r="375" customFormat="false" ht="15" hidden="false" customHeight="true" outlineLevel="0" collapsed="false">
      <c r="J375" s="12"/>
    </row>
    <row r="376" customFormat="false" ht="15" hidden="false" customHeight="true" outlineLevel="0" collapsed="false">
      <c r="J376" s="12"/>
    </row>
    <row r="377" customFormat="false" ht="15" hidden="false" customHeight="true" outlineLevel="0" collapsed="false">
      <c r="J377" s="12"/>
    </row>
    <row r="378" customFormat="false" ht="15" hidden="false" customHeight="true" outlineLevel="0" collapsed="false">
      <c r="J378" s="12"/>
    </row>
    <row r="379" customFormat="false" ht="15" hidden="false" customHeight="true" outlineLevel="0" collapsed="false">
      <c r="J379" s="12"/>
    </row>
    <row r="380" customFormat="false" ht="15" hidden="false" customHeight="true" outlineLevel="0" collapsed="false">
      <c r="J380" s="12"/>
    </row>
    <row r="381" customFormat="false" ht="15" hidden="false" customHeight="true" outlineLevel="0" collapsed="false">
      <c r="J381" s="12"/>
    </row>
    <row r="382" customFormat="false" ht="15" hidden="false" customHeight="true" outlineLevel="0" collapsed="false">
      <c r="J382" s="12"/>
    </row>
    <row r="383" customFormat="false" ht="15" hidden="false" customHeight="true" outlineLevel="0" collapsed="false">
      <c r="J383" s="12"/>
    </row>
    <row r="384" customFormat="false" ht="15" hidden="false" customHeight="true" outlineLevel="0" collapsed="false">
      <c r="J384" s="12"/>
    </row>
    <row r="385" customFormat="false" ht="15" hidden="false" customHeight="true" outlineLevel="0" collapsed="false">
      <c r="J385" s="12"/>
    </row>
    <row r="386" customFormat="false" ht="15" hidden="false" customHeight="true" outlineLevel="0" collapsed="false">
      <c r="J386" s="12"/>
    </row>
    <row r="387" customFormat="false" ht="15" hidden="false" customHeight="true" outlineLevel="0" collapsed="false">
      <c r="J387" s="12"/>
    </row>
    <row r="388" customFormat="false" ht="15" hidden="false" customHeight="true" outlineLevel="0" collapsed="false">
      <c r="J388" s="12"/>
    </row>
    <row r="389" customFormat="false" ht="15" hidden="false" customHeight="true" outlineLevel="0" collapsed="false">
      <c r="J389" s="12"/>
    </row>
    <row r="390" customFormat="false" ht="15" hidden="false" customHeight="true" outlineLevel="0" collapsed="false">
      <c r="J390" s="12"/>
    </row>
    <row r="391" customFormat="false" ht="15" hidden="false" customHeight="true" outlineLevel="0" collapsed="false">
      <c r="J391" s="12"/>
    </row>
    <row r="392" customFormat="false" ht="15" hidden="false" customHeight="true" outlineLevel="0" collapsed="false">
      <c r="J392" s="12"/>
    </row>
    <row r="393" customFormat="false" ht="15" hidden="false" customHeight="true" outlineLevel="0" collapsed="false">
      <c r="J393" s="12"/>
    </row>
    <row r="394" customFormat="false" ht="15" hidden="false" customHeight="true" outlineLevel="0" collapsed="false">
      <c r="J394" s="12"/>
    </row>
    <row r="395" customFormat="false" ht="15" hidden="false" customHeight="true" outlineLevel="0" collapsed="false">
      <c r="J395" s="12"/>
    </row>
    <row r="396" customFormat="false" ht="15" hidden="false" customHeight="true" outlineLevel="0" collapsed="false">
      <c r="J396" s="12"/>
    </row>
    <row r="397" customFormat="false" ht="15" hidden="false" customHeight="true" outlineLevel="0" collapsed="false">
      <c r="J397" s="12"/>
    </row>
    <row r="398" customFormat="false" ht="15" hidden="false" customHeight="true" outlineLevel="0" collapsed="false">
      <c r="J398" s="12"/>
    </row>
    <row r="399" customFormat="false" ht="15" hidden="false" customHeight="true" outlineLevel="0" collapsed="false">
      <c r="J399" s="12"/>
    </row>
    <row r="400" customFormat="false" ht="15" hidden="false" customHeight="true" outlineLevel="0" collapsed="false">
      <c r="J400" s="12"/>
    </row>
    <row r="401" customFormat="false" ht="15" hidden="false" customHeight="true" outlineLevel="0" collapsed="false">
      <c r="J401" s="12"/>
    </row>
    <row r="402" customFormat="false" ht="15" hidden="false" customHeight="true" outlineLevel="0" collapsed="false">
      <c r="J402" s="12"/>
    </row>
    <row r="403" customFormat="false" ht="15" hidden="false" customHeight="true" outlineLevel="0" collapsed="false">
      <c r="J403" s="12"/>
    </row>
    <row r="404" customFormat="false" ht="15" hidden="false" customHeight="true" outlineLevel="0" collapsed="false">
      <c r="J404" s="12"/>
    </row>
    <row r="405" customFormat="false" ht="15" hidden="false" customHeight="true" outlineLevel="0" collapsed="false">
      <c r="J405" s="12"/>
    </row>
    <row r="406" customFormat="false" ht="15" hidden="false" customHeight="true" outlineLevel="0" collapsed="false">
      <c r="J406" s="12"/>
    </row>
    <row r="407" customFormat="false" ht="15" hidden="false" customHeight="true" outlineLevel="0" collapsed="false">
      <c r="J407" s="12"/>
    </row>
    <row r="408" customFormat="false" ht="15" hidden="false" customHeight="true" outlineLevel="0" collapsed="false">
      <c r="J408" s="12"/>
    </row>
    <row r="409" customFormat="false" ht="15" hidden="false" customHeight="true" outlineLevel="0" collapsed="false">
      <c r="J409" s="12"/>
    </row>
    <row r="410" customFormat="false" ht="15" hidden="false" customHeight="true" outlineLevel="0" collapsed="false">
      <c r="J410" s="12"/>
    </row>
    <row r="411" customFormat="false" ht="15" hidden="false" customHeight="true" outlineLevel="0" collapsed="false">
      <c r="J411" s="12"/>
    </row>
    <row r="412" customFormat="false" ht="15" hidden="false" customHeight="true" outlineLevel="0" collapsed="false">
      <c r="J412" s="12"/>
    </row>
    <row r="413" customFormat="false" ht="15" hidden="false" customHeight="true" outlineLevel="0" collapsed="false">
      <c r="J413" s="12"/>
    </row>
    <row r="414" customFormat="false" ht="15" hidden="false" customHeight="true" outlineLevel="0" collapsed="false">
      <c r="J414" s="12"/>
    </row>
    <row r="415" customFormat="false" ht="15" hidden="false" customHeight="true" outlineLevel="0" collapsed="false">
      <c r="J415" s="12"/>
    </row>
    <row r="416" customFormat="false" ht="15" hidden="false" customHeight="true" outlineLevel="0" collapsed="false">
      <c r="J416" s="12"/>
    </row>
    <row r="417" customFormat="false" ht="15" hidden="false" customHeight="true" outlineLevel="0" collapsed="false">
      <c r="J417" s="12"/>
    </row>
    <row r="418" customFormat="false" ht="15" hidden="false" customHeight="true" outlineLevel="0" collapsed="false">
      <c r="J418" s="12"/>
    </row>
    <row r="419" customFormat="false" ht="15" hidden="false" customHeight="true" outlineLevel="0" collapsed="false">
      <c r="J419" s="12"/>
    </row>
    <row r="420" customFormat="false" ht="15" hidden="false" customHeight="true" outlineLevel="0" collapsed="false">
      <c r="J420" s="12"/>
    </row>
    <row r="421" customFormat="false" ht="15" hidden="false" customHeight="true" outlineLevel="0" collapsed="false">
      <c r="J421" s="12"/>
    </row>
    <row r="422" customFormat="false" ht="15" hidden="false" customHeight="true" outlineLevel="0" collapsed="false">
      <c r="J422" s="12"/>
    </row>
    <row r="423" customFormat="false" ht="15" hidden="false" customHeight="true" outlineLevel="0" collapsed="false">
      <c r="J423" s="12"/>
    </row>
    <row r="424" customFormat="false" ht="15" hidden="false" customHeight="true" outlineLevel="0" collapsed="false">
      <c r="J424" s="12"/>
    </row>
    <row r="425" customFormat="false" ht="15" hidden="false" customHeight="true" outlineLevel="0" collapsed="false">
      <c r="J425" s="12"/>
    </row>
    <row r="426" customFormat="false" ht="15" hidden="false" customHeight="true" outlineLevel="0" collapsed="false">
      <c r="J426" s="12"/>
    </row>
    <row r="427" customFormat="false" ht="15" hidden="false" customHeight="true" outlineLevel="0" collapsed="false">
      <c r="J427" s="12"/>
    </row>
    <row r="428" customFormat="false" ht="15" hidden="false" customHeight="true" outlineLevel="0" collapsed="false">
      <c r="J428" s="12"/>
    </row>
    <row r="429" customFormat="false" ht="15" hidden="false" customHeight="true" outlineLevel="0" collapsed="false">
      <c r="J429" s="12"/>
    </row>
    <row r="430" customFormat="false" ht="15" hidden="false" customHeight="true" outlineLevel="0" collapsed="false">
      <c r="J430" s="12"/>
    </row>
    <row r="431" customFormat="false" ht="15" hidden="false" customHeight="true" outlineLevel="0" collapsed="false">
      <c r="J431" s="12"/>
    </row>
    <row r="432" customFormat="false" ht="15" hidden="false" customHeight="true" outlineLevel="0" collapsed="false">
      <c r="J432" s="12"/>
    </row>
    <row r="433" customFormat="false" ht="15" hidden="false" customHeight="true" outlineLevel="0" collapsed="false">
      <c r="J433" s="12"/>
    </row>
    <row r="434" customFormat="false" ht="15" hidden="false" customHeight="true" outlineLevel="0" collapsed="false">
      <c r="J434" s="12"/>
    </row>
    <row r="435" customFormat="false" ht="15" hidden="false" customHeight="true" outlineLevel="0" collapsed="false">
      <c r="J435" s="12"/>
    </row>
    <row r="436" customFormat="false" ht="15" hidden="false" customHeight="true" outlineLevel="0" collapsed="false">
      <c r="J436" s="12"/>
    </row>
    <row r="437" customFormat="false" ht="15" hidden="false" customHeight="true" outlineLevel="0" collapsed="false">
      <c r="J437" s="12"/>
    </row>
    <row r="438" customFormat="false" ht="15" hidden="false" customHeight="true" outlineLevel="0" collapsed="false">
      <c r="J438" s="12"/>
    </row>
    <row r="439" customFormat="false" ht="15" hidden="false" customHeight="true" outlineLevel="0" collapsed="false">
      <c r="J439" s="12"/>
    </row>
    <row r="440" customFormat="false" ht="15" hidden="false" customHeight="true" outlineLevel="0" collapsed="false">
      <c r="J440" s="12"/>
    </row>
    <row r="441" customFormat="false" ht="15" hidden="false" customHeight="true" outlineLevel="0" collapsed="false">
      <c r="J441" s="12"/>
    </row>
    <row r="442" customFormat="false" ht="15" hidden="false" customHeight="true" outlineLevel="0" collapsed="false">
      <c r="J442" s="12"/>
    </row>
    <row r="443" customFormat="false" ht="15" hidden="false" customHeight="true" outlineLevel="0" collapsed="false">
      <c r="J443" s="12"/>
    </row>
    <row r="444" customFormat="false" ht="15" hidden="false" customHeight="true" outlineLevel="0" collapsed="false">
      <c r="J444" s="12"/>
    </row>
    <row r="445" customFormat="false" ht="15" hidden="false" customHeight="true" outlineLevel="0" collapsed="false">
      <c r="J445" s="12"/>
    </row>
    <row r="446" customFormat="false" ht="15" hidden="false" customHeight="true" outlineLevel="0" collapsed="false">
      <c r="J446" s="12"/>
    </row>
    <row r="447" customFormat="false" ht="15" hidden="false" customHeight="true" outlineLevel="0" collapsed="false">
      <c r="J447" s="12"/>
    </row>
    <row r="448" customFormat="false" ht="15" hidden="false" customHeight="true" outlineLevel="0" collapsed="false">
      <c r="J448" s="12"/>
    </row>
    <row r="449" customFormat="false" ht="15" hidden="false" customHeight="true" outlineLevel="0" collapsed="false">
      <c r="J449" s="12"/>
    </row>
    <row r="450" customFormat="false" ht="15" hidden="false" customHeight="true" outlineLevel="0" collapsed="false">
      <c r="J450" s="12"/>
    </row>
    <row r="451" customFormat="false" ht="15" hidden="false" customHeight="true" outlineLevel="0" collapsed="false">
      <c r="J451" s="12"/>
    </row>
    <row r="452" customFormat="false" ht="15" hidden="false" customHeight="true" outlineLevel="0" collapsed="false">
      <c r="J452" s="12"/>
    </row>
    <row r="453" customFormat="false" ht="15" hidden="false" customHeight="true" outlineLevel="0" collapsed="false">
      <c r="J453" s="12"/>
    </row>
    <row r="454" customFormat="false" ht="15" hidden="false" customHeight="true" outlineLevel="0" collapsed="false">
      <c r="J454" s="12"/>
    </row>
    <row r="455" customFormat="false" ht="15" hidden="false" customHeight="true" outlineLevel="0" collapsed="false">
      <c r="J455" s="12"/>
    </row>
    <row r="456" customFormat="false" ht="15" hidden="false" customHeight="true" outlineLevel="0" collapsed="false">
      <c r="J456" s="12"/>
    </row>
    <row r="457" customFormat="false" ht="15" hidden="false" customHeight="true" outlineLevel="0" collapsed="false">
      <c r="J457" s="12"/>
    </row>
    <row r="458" customFormat="false" ht="15" hidden="false" customHeight="true" outlineLevel="0" collapsed="false">
      <c r="J458" s="12"/>
    </row>
    <row r="459" customFormat="false" ht="15" hidden="false" customHeight="true" outlineLevel="0" collapsed="false">
      <c r="J459" s="12"/>
    </row>
    <row r="460" customFormat="false" ht="15" hidden="false" customHeight="true" outlineLevel="0" collapsed="false">
      <c r="J460" s="12"/>
    </row>
    <row r="461" customFormat="false" ht="15" hidden="false" customHeight="true" outlineLevel="0" collapsed="false">
      <c r="J461" s="12"/>
    </row>
    <row r="462" customFormat="false" ht="15" hidden="false" customHeight="true" outlineLevel="0" collapsed="false">
      <c r="J462" s="12"/>
    </row>
    <row r="463" customFormat="false" ht="15" hidden="false" customHeight="true" outlineLevel="0" collapsed="false">
      <c r="J463" s="12"/>
    </row>
    <row r="464" customFormat="false" ht="15" hidden="false" customHeight="true" outlineLevel="0" collapsed="false">
      <c r="J464" s="12"/>
    </row>
    <row r="465" customFormat="false" ht="15" hidden="false" customHeight="true" outlineLevel="0" collapsed="false">
      <c r="J465" s="12"/>
    </row>
    <row r="466" customFormat="false" ht="15" hidden="false" customHeight="true" outlineLevel="0" collapsed="false">
      <c r="J466" s="12"/>
    </row>
    <row r="467" customFormat="false" ht="15" hidden="false" customHeight="true" outlineLevel="0" collapsed="false">
      <c r="J467" s="12"/>
    </row>
    <row r="468" customFormat="false" ht="15" hidden="false" customHeight="true" outlineLevel="0" collapsed="false">
      <c r="J468" s="12"/>
    </row>
    <row r="469" customFormat="false" ht="15" hidden="false" customHeight="true" outlineLevel="0" collapsed="false">
      <c r="J469" s="12"/>
    </row>
    <row r="470" customFormat="false" ht="15" hidden="false" customHeight="true" outlineLevel="0" collapsed="false">
      <c r="J470" s="12"/>
    </row>
    <row r="471" customFormat="false" ht="15" hidden="false" customHeight="true" outlineLevel="0" collapsed="false">
      <c r="J471" s="12"/>
    </row>
    <row r="472" customFormat="false" ht="15" hidden="false" customHeight="true" outlineLevel="0" collapsed="false">
      <c r="J472" s="12"/>
    </row>
    <row r="473" customFormat="false" ht="15" hidden="false" customHeight="true" outlineLevel="0" collapsed="false">
      <c r="J473" s="12"/>
    </row>
    <row r="474" customFormat="false" ht="15" hidden="false" customHeight="true" outlineLevel="0" collapsed="false">
      <c r="J474" s="12"/>
    </row>
    <row r="475" customFormat="false" ht="15" hidden="false" customHeight="true" outlineLevel="0" collapsed="false">
      <c r="J475" s="12"/>
    </row>
    <row r="476" customFormat="false" ht="15" hidden="false" customHeight="true" outlineLevel="0" collapsed="false">
      <c r="J476" s="12"/>
    </row>
    <row r="477" customFormat="false" ht="15" hidden="false" customHeight="true" outlineLevel="0" collapsed="false">
      <c r="J477" s="12"/>
    </row>
    <row r="478" customFormat="false" ht="15" hidden="false" customHeight="true" outlineLevel="0" collapsed="false">
      <c r="J478" s="12"/>
    </row>
    <row r="479" customFormat="false" ht="15" hidden="false" customHeight="true" outlineLevel="0" collapsed="false">
      <c r="J479" s="12"/>
    </row>
    <row r="480" customFormat="false" ht="15" hidden="false" customHeight="true" outlineLevel="0" collapsed="false">
      <c r="J480" s="12"/>
    </row>
    <row r="481" customFormat="false" ht="15" hidden="false" customHeight="true" outlineLevel="0" collapsed="false">
      <c r="J481" s="12"/>
    </row>
    <row r="482" customFormat="false" ht="15" hidden="false" customHeight="true" outlineLevel="0" collapsed="false">
      <c r="J482" s="12"/>
    </row>
    <row r="483" customFormat="false" ht="15" hidden="false" customHeight="true" outlineLevel="0" collapsed="false">
      <c r="J483" s="12"/>
    </row>
    <row r="484" customFormat="false" ht="15" hidden="false" customHeight="true" outlineLevel="0" collapsed="false">
      <c r="J484" s="12"/>
    </row>
    <row r="485" customFormat="false" ht="15" hidden="false" customHeight="true" outlineLevel="0" collapsed="false">
      <c r="J485" s="12"/>
    </row>
    <row r="486" customFormat="false" ht="15" hidden="false" customHeight="true" outlineLevel="0" collapsed="false">
      <c r="J486" s="12"/>
    </row>
    <row r="487" customFormat="false" ht="15" hidden="false" customHeight="true" outlineLevel="0" collapsed="false">
      <c r="J487" s="12"/>
    </row>
    <row r="488" customFormat="false" ht="15" hidden="false" customHeight="true" outlineLevel="0" collapsed="false">
      <c r="J488" s="12"/>
    </row>
    <row r="489" customFormat="false" ht="15" hidden="false" customHeight="true" outlineLevel="0" collapsed="false">
      <c r="J489" s="12"/>
    </row>
    <row r="490" customFormat="false" ht="15" hidden="false" customHeight="true" outlineLevel="0" collapsed="false">
      <c r="J490" s="12"/>
    </row>
    <row r="491" customFormat="false" ht="15" hidden="false" customHeight="true" outlineLevel="0" collapsed="false">
      <c r="J491" s="12"/>
    </row>
    <row r="492" customFormat="false" ht="15" hidden="false" customHeight="true" outlineLevel="0" collapsed="false">
      <c r="J492" s="12"/>
    </row>
    <row r="493" customFormat="false" ht="15" hidden="false" customHeight="true" outlineLevel="0" collapsed="false">
      <c r="J493" s="12"/>
    </row>
    <row r="494" customFormat="false" ht="15" hidden="false" customHeight="true" outlineLevel="0" collapsed="false">
      <c r="J494" s="12"/>
    </row>
    <row r="495" customFormat="false" ht="15" hidden="false" customHeight="true" outlineLevel="0" collapsed="false">
      <c r="J495" s="12"/>
    </row>
    <row r="496" customFormat="false" ht="15" hidden="false" customHeight="true" outlineLevel="0" collapsed="false">
      <c r="J496" s="12"/>
    </row>
    <row r="497" customFormat="false" ht="15" hidden="false" customHeight="true" outlineLevel="0" collapsed="false">
      <c r="J497" s="12"/>
    </row>
    <row r="498" customFormat="false" ht="15" hidden="false" customHeight="true" outlineLevel="0" collapsed="false">
      <c r="J498" s="12"/>
    </row>
    <row r="499" customFormat="false" ht="15" hidden="false" customHeight="true" outlineLevel="0" collapsed="false">
      <c r="J499" s="12"/>
    </row>
  </sheetData>
  <dataValidations count="3">
    <dataValidation allowBlank="true" errorStyle="stop" operator="between" showDropDown="false" showErrorMessage="false" showInputMessage="false" sqref="E2:E500" type="list">
      <formula1>"Starter,Team,Business,Enterprise"</formula1>
      <formula2>0</formula2>
    </dataValidation>
    <dataValidation allowBlank="true" errorStyle="stop" operator="between" showDropDown="false" showErrorMessage="false" showInputMessage="false" sqref="F2:F500" type="list">
      <formula1>"Trial,Active,Past Due,Churned"</formula1>
      <formula2>0</formula2>
    </dataValidation>
    <dataValidation allowBlank="true" errorStyle="stop" operator="between" showDropDown="false" showErrorMessage="false" showInputMessage="false" sqref="K2:K500" type="list">
      <formula1>"Monthly,Annual,N/A (Free)"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34"/>
  </cols>
  <sheetData>
    <row r="1" customFormat="false" ht="30" hidden="false" customHeight="true" outlineLevel="0" collapsed="false">
      <c r="A1" s="7" t="s">
        <v>57</v>
      </c>
      <c r="B1" s="7" t="s">
        <v>23</v>
      </c>
      <c r="C1" s="7" t="s">
        <v>58</v>
      </c>
      <c r="D1" s="7" t="s">
        <v>43</v>
      </c>
      <c r="E1" s="7" t="s">
        <v>59</v>
      </c>
      <c r="F1" s="7" t="s">
        <v>60</v>
      </c>
      <c r="G1" s="7" t="s">
        <v>48</v>
      </c>
      <c r="H1" s="7" t="s">
        <v>31</v>
      </c>
    </row>
    <row r="2" customFormat="false" ht="15" hidden="false" customHeight="true" outlineLevel="0" collapsed="false">
      <c r="A2" s="8" t="s">
        <v>61</v>
      </c>
      <c r="B2" s="8" t="s">
        <v>52</v>
      </c>
      <c r="C2" s="8" t="s">
        <v>34</v>
      </c>
      <c r="D2" s="8" t="s">
        <v>50</v>
      </c>
      <c r="E2" s="8" t="s">
        <v>62</v>
      </c>
      <c r="F2" s="10" t="n">
        <v>984</v>
      </c>
      <c r="G2" s="8" t="s">
        <v>55</v>
      </c>
      <c r="H2" s="8" t="s">
        <v>63</v>
      </c>
    </row>
    <row r="3" customFormat="false" ht="15" hidden="false" customHeight="true" outlineLevel="0" collapsed="false">
      <c r="A3" s="9"/>
      <c r="B3" s="9"/>
      <c r="C3" s="9"/>
      <c r="D3" s="9"/>
      <c r="E3" s="9"/>
      <c r="F3" s="11"/>
      <c r="G3" s="9"/>
      <c r="H3" s="9"/>
    </row>
    <row r="4" customFormat="false" ht="15" hidden="false" customHeight="true" outlineLevel="0" collapsed="false">
      <c r="A4" s="9"/>
      <c r="B4" s="9"/>
      <c r="C4" s="9"/>
      <c r="D4" s="9"/>
      <c r="E4" s="9"/>
      <c r="F4" s="11"/>
      <c r="G4" s="9"/>
      <c r="H4" s="9"/>
    </row>
    <row r="5" customFormat="false" ht="15" hidden="false" customHeight="true" outlineLevel="0" collapsed="false">
      <c r="A5" s="9"/>
      <c r="B5" s="9"/>
      <c r="C5" s="9"/>
      <c r="D5" s="9"/>
      <c r="E5" s="9"/>
      <c r="F5" s="11"/>
      <c r="G5" s="9"/>
      <c r="H5" s="9"/>
    </row>
    <row r="6" customFormat="false" ht="15" hidden="false" customHeight="true" outlineLevel="0" collapsed="false">
      <c r="A6" s="9"/>
      <c r="B6" s="9"/>
      <c r="C6" s="9"/>
      <c r="D6" s="9"/>
      <c r="E6" s="9"/>
      <c r="F6" s="11"/>
      <c r="G6" s="9"/>
      <c r="H6" s="9"/>
    </row>
    <row r="7" customFormat="false" ht="15" hidden="false" customHeight="true" outlineLevel="0" collapsed="false">
      <c r="A7" s="9"/>
      <c r="B7" s="9"/>
      <c r="C7" s="9"/>
      <c r="D7" s="9"/>
      <c r="E7" s="9"/>
      <c r="F7" s="11"/>
      <c r="G7" s="9"/>
      <c r="H7" s="9"/>
    </row>
    <row r="8" customFormat="false" ht="15" hidden="false" customHeight="true" outlineLevel="0" collapsed="false">
      <c r="A8" s="9"/>
      <c r="B8" s="9"/>
      <c r="C8" s="9"/>
      <c r="D8" s="9"/>
      <c r="E8" s="9"/>
      <c r="F8" s="11"/>
      <c r="G8" s="9"/>
      <c r="H8" s="9"/>
    </row>
    <row r="9" customFormat="false" ht="15" hidden="false" customHeight="true" outlineLevel="0" collapsed="false">
      <c r="A9" s="9"/>
      <c r="B9" s="9"/>
      <c r="C9" s="9"/>
      <c r="D9" s="9"/>
      <c r="E9" s="9"/>
      <c r="F9" s="11"/>
      <c r="G9" s="9"/>
      <c r="H9" s="9"/>
    </row>
    <row r="10" customFormat="false" ht="15" hidden="false" customHeight="true" outlineLevel="0" collapsed="false">
      <c r="A10" s="9"/>
      <c r="B10" s="9"/>
      <c r="C10" s="9"/>
      <c r="D10" s="9"/>
      <c r="E10" s="9"/>
      <c r="F10" s="11"/>
      <c r="G10" s="9"/>
      <c r="H10" s="9"/>
    </row>
    <row r="11" customFormat="false" ht="15" hidden="false" customHeight="true" outlineLevel="0" collapsed="false">
      <c r="A11" s="9"/>
      <c r="B11" s="9"/>
      <c r="C11" s="9"/>
      <c r="D11" s="9"/>
      <c r="E11" s="9"/>
      <c r="F11" s="11"/>
      <c r="G11" s="9"/>
      <c r="H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11"/>
      <c r="G12" s="9"/>
      <c r="H12" s="9"/>
    </row>
    <row r="13" customFormat="false" ht="15" hidden="false" customHeight="true" outlineLevel="0" collapsed="false">
      <c r="A13" s="9"/>
      <c r="B13" s="9"/>
      <c r="C13" s="9"/>
      <c r="D13" s="9"/>
      <c r="E13" s="9"/>
      <c r="F13" s="11"/>
      <c r="G13" s="9"/>
      <c r="H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11"/>
      <c r="G14" s="9"/>
      <c r="H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11"/>
      <c r="G15" s="9"/>
      <c r="H15" s="9"/>
    </row>
    <row r="16" customFormat="false" ht="15" hidden="false" customHeight="true" outlineLevel="0" collapsed="false">
      <c r="A16" s="9"/>
      <c r="B16" s="9"/>
      <c r="C16" s="9"/>
      <c r="D16" s="9"/>
      <c r="E16" s="9"/>
      <c r="F16" s="11"/>
      <c r="G16" s="9"/>
      <c r="H16" s="9"/>
    </row>
    <row r="17" customFormat="false" ht="15" hidden="false" customHeight="true" outlineLevel="0" collapsed="false">
      <c r="A17" s="9"/>
      <c r="B17" s="9"/>
      <c r="C17" s="9"/>
      <c r="D17" s="9"/>
      <c r="E17" s="9"/>
      <c r="F17" s="11"/>
      <c r="G17" s="9"/>
      <c r="H17" s="9"/>
    </row>
    <row r="18" customFormat="false" ht="15" hidden="false" customHeight="true" outlineLevel="0" collapsed="false">
      <c r="A18" s="9"/>
      <c r="B18" s="9"/>
      <c r="C18" s="9"/>
      <c r="D18" s="9"/>
      <c r="E18" s="9"/>
      <c r="F18" s="11"/>
      <c r="G18" s="9"/>
      <c r="H18" s="9"/>
    </row>
    <row r="19" customFormat="false" ht="15" hidden="false" customHeight="true" outlineLevel="0" collapsed="false">
      <c r="A19" s="9"/>
      <c r="B19" s="9"/>
      <c r="C19" s="9"/>
      <c r="D19" s="9"/>
      <c r="E19" s="9"/>
      <c r="F19" s="11"/>
      <c r="G19" s="9"/>
      <c r="H19" s="9"/>
    </row>
    <row r="20" customFormat="false" ht="15" hidden="false" customHeight="true" outlineLevel="0" collapsed="false">
      <c r="A20" s="9"/>
      <c r="B20" s="9"/>
      <c r="C20" s="9"/>
      <c r="D20" s="9"/>
      <c r="E20" s="9"/>
      <c r="F20" s="11"/>
      <c r="G20" s="9"/>
      <c r="H20" s="9"/>
    </row>
    <row r="21" customFormat="false" ht="15" hidden="false" customHeight="true" outlineLevel="0" collapsed="false">
      <c r="A21" s="9"/>
      <c r="B21" s="9"/>
      <c r="C21" s="9"/>
      <c r="D21" s="9"/>
      <c r="E21" s="9"/>
      <c r="F21" s="11"/>
      <c r="G21" s="9"/>
      <c r="H21" s="9"/>
    </row>
    <row r="22" customFormat="false" ht="15" hidden="false" customHeight="true" outlineLevel="0" collapsed="false">
      <c r="A22" s="9"/>
      <c r="B22" s="9"/>
      <c r="C22" s="9"/>
      <c r="D22" s="9"/>
      <c r="E22" s="9"/>
      <c r="F22" s="11"/>
      <c r="G22" s="9"/>
      <c r="H22" s="9"/>
    </row>
    <row r="23" customFormat="false" ht="15" hidden="false" customHeight="true" outlineLevel="0" collapsed="false">
      <c r="A23" s="9"/>
      <c r="B23" s="9"/>
      <c r="C23" s="9"/>
      <c r="D23" s="9"/>
      <c r="E23" s="9"/>
      <c r="F23" s="11"/>
      <c r="G23" s="9"/>
      <c r="H23" s="9"/>
    </row>
    <row r="24" customFormat="false" ht="15" hidden="false" customHeight="true" outlineLevel="0" collapsed="false">
      <c r="A24" s="9"/>
      <c r="B24" s="9"/>
      <c r="C24" s="9"/>
      <c r="D24" s="9"/>
      <c r="E24" s="9"/>
      <c r="F24" s="11"/>
      <c r="G24" s="9"/>
      <c r="H24" s="9"/>
    </row>
    <row r="25" customFormat="false" ht="15" hidden="false" customHeight="true" outlineLevel="0" collapsed="false">
      <c r="A25" s="9"/>
      <c r="B25" s="9"/>
      <c r="C25" s="9"/>
      <c r="D25" s="9"/>
      <c r="E25" s="9"/>
      <c r="F25" s="11"/>
      <c r="G25" s="9"/>
      <c r="H25" s="9"/>
    </row>
    <row r="26" customFormat="false" ht="15" hidden="false" customHeight="true" outlineLevel="0" collapsed="false">
      <c r="A26" s="9"/>
      <c r="B26" s="9"/>
      <c r="C26" s="9"/>
      <c r="D26" s="9"/>
      <c r="E26" s="9"/>
      <c r="F26" s="11"/>
      <c r="G26" s="9"/>
      <c r="H26" s="9"/>
    </row>
    <row r="27" customFormat="false" ht="15" hidden="false" customHeight="true" outlineLevel="0" collapsed="false">
      <c r="A27" s="9"/>
      <c r="B27" s="9"/>
      <c r="C27" s="9"/>
      <c r="D27" s="9"/>
      <c r="E27" s="9"/>
      <c r="F27" s="11"/>
      <c r="G27" s="9"/>
      <c r="H27" s="9"/>
    </row>
    <row r="28" customFormat="false" ht="15" hidden="false" customHeight="true" outlineLevel="0" collapsed="false">
      <c r="A28" s="9"/>
      <c r="B28" s="9"/>
      <c r="C28" s="9"/>
      <c r="D28" s="9"/>
      <c r="E28" s="9"/>
      <c r="F28" s="11"/>
      <c r="G28" s="9"/>
      <c r="H28" s="9"/>
    </row>
    <row r="29" customFormat="false" ht="15" hidden="false" customHeight="true" outlineLevel="0" collapsed="false">
      <c r="A29" s="9"/>
      <c r="B29" s="9"/>
      <c r="C29" s="9"/>
      <c r="D29" s="9"/>
      <c r="E29" s="9"/>
      <c r="F29" s="11"/>
      <c r="G29" s="9"/>
      <c r="H29" s="9"/>
    </row>
    <row r="30" customFormat="false" ht="15" hidden="false" customHeight="true" outlineLevel="0" collapsed="false">
      <c r="A30" s="9"/>
      <c r="B30" s="9"/>
      <c r="C30" s="9"/>
      <c r="D30" s="9"/>
      <c r="E30" s="9"/>
      <c r="F30" s="11"/>
      <c r="G30" s="9"/>
      <c r="H30" s="9"/>
    </row>
    <row r="31" customFormat="false" ht="15" hidden="false" customHeight="true" outlineLevel="0" collapsed="false">
      <c r="A31" s="9"/>
      <c r="B31" s="9"/>
      <c r="C31" s="9"/>
      <c r="D31" s="9"/>
      <c r="E31" s="9"/>
      <c r="F31" s="11"/>
      <c r="G31" s="9"/>
      <c r="H31" s="9"/>
    </row>
    <row r="32" customFormat="false" ht="15" hidden="false" customHeight="true" outlineLevel="0" collapsed="false">
      <c r="A32" s="9"/>
      <c r="B32" s="9"/>
      <c r="C32" s="9"/>
      <c r="D32" s="9"/>
      <c r="E32" s="9"/>
      <c r="F32" s="11"/>
      <c r="G32" s="9"/>
      <c r="H32" s="9"/>
    </row>
    <row r="33" customFormat="false" ht="15" hidden="false" customHeight="true" outlineLevel="0" collapsed="false">
      <c r="A33" s="9"/>
      <c r="B33" s="9"/>
      <c r="C33" s="9"/>
      <c r="D33" s="9"/>
      <c r="E33" s="9"/>
      <c r="F33" s="11"/>
      <c r="G33" s="9"/>
      <c r="H33" s="9"/>
    </row>
    <row r="34" customFormat="false" ht="15" hidden="false" customHeight="true" outlineLevel="0" collapsed="false">
      <c r="A34" s="9"/>
      <c r="B34" s="9"/>
      <c r="C34" s="9"/>
      <c r="D34" s="9"/>
      <c r="E34" s="9"/>
      <c r="F34" s="11"/>
      <c r="G34" s="9"/>
      <c r="H34" s="9"/>
    </row>
    <row r="35" customFormat="false" ht="15" hidden="false" customHeight="true" outlineLevel="0" collapsed="false">
      <c r="A35" s="9"/>
      <c r="B35" s="9"/>
      <c r="C35" s="9"/>
      <c r="D35" s="9"/>
      <c r="E35" s="9"/>
      <c r="F35" s="11"/>
      <c r="G35" s="9"/>
      <c r="H35" s="9"/>
    </row>
    <row r="36" customFormat="false" ht="15" hidden="false" customHeight="true" outlineLevel="0" collapsed="false">
      <c r="A36" s="9"/>
      <c r="B36" s="9"/>
      <c r="C36" s="9"/>
      <c r="D36" s="9"/>
      <c r="E36" s="9"/>
      <c r="F36" s="11"/>
      <c r="G36" s="9"/>
      <c r="H36" s="9"/>
    </row>
    <row r="37" customFormat="false" ht="15" hidden="false" customHeight="true" outlineLevel="0" collapsed="false">
      <c r="A37" s="9"/>
      <c r="B37" s="9"/>
      <c r="C37" s="9"/>
      <c r="D37" s="9"/>
      <c r="E37" s="9"/>
      <c r="F37" s="11"/>
      <c r="G37" s="9"/>
      <c r="H37" s="9"/>
    </row>
    <row r="38" customFormat="false" ht="15" hidden="false" customHeight="true" outlineLevel="0" collapsed="false">
      <c r="A38" s="9"/>
      <c r="B38" s="9"/>
      <c r="C38" s="9"/>
      <c r="D38" s="9"/>
      <c r="E38" s="9"/>
      <c r="F38" s="11"/>
      <c r="G38" s="9"/>
      <c r="H38" s="9"/>
    </row>
    <row r="39" customFormat="false" ht="15" hidden="false" customHeight="true" outlineLevel="0" collapsed="false">
      <c r="A39" s="9"/>
      <c r="B39" s="9"/>
      <c r="C39" s="9"/>
      <c r="D39" s="9"/>
      <c r="E39" s="9"/>
      <c r="F39" s="11"/>
      <c r="G39" s="9"/>
      <c r="H39" s="9"/>
    </row>
    <row r="40" customFormat="false" ht="15" hidden="false" customHeight="true" outlineLevel="0" collapsed="false">
      <c r="F40" s="12"/>
    </row>
    <row r="41" customFormat="false" ht="15" hidden="false" customHeight="true" outlineLevel="0" collapsed="false">
      <c r="F41" s="12"/>
    </row>
    <row r="42" customFormat="false" ht="15" hidden="false" customHeight="true" outlineLevel="0" collapsed="false">
      <c r="F42" s="12"/>
    </row>
    <row r="43" customFormat="false" ht="15" hidden="false" customHeight="true" outlineLevel="0" collapsed="false">
      <c r="F43" s="12"/>
    </row>
    <row r="44" customFormat="false" ht="15" hidden="false" customHeight="true" outlineLevel="0" collapsed="false">
      <c r="F44" s="12"/>
    </row>
    <row r="45" customFormat="false" ht="15" hidden="false" customHeight="true" outlineLevel="0" collapsed="false">
      <c r="F45" s="12"/>
    </row>
    <row r="46" customFormat="false" ht="15" hidden="false" customHeight="true" outlineLevel="0" collapsed="false">
      <c r="F46" s="12"/>
    </row>
    <row r="47" customFormat="false" ht="15" hidden="false" customHeight="true" outlineLevel="0" collapsed="false">
      <c r="F47" s="12"/>
    </row>
    <row r="48" customFormat="false" ht="15" hidden="false" customHeight="true" outlineLevel="0" collapsed="false">
      <c r="F48" s="12"/>
    </row>
    <row r="49" customFormat="false" ht="15" hidden="false" customHeight="true" outlineLevel="0" collapsed="false">
      <c r="F49" s="12"/>
    </row>
    <row r="50" customFormat="false" ht="15" hidden="false" customHeight="true" outlineLevel="0" collapsed="false">
      <c r="F50" s="12"/>
    </row>
    <row r="51" customFormat="false" ht="15" hidden="false" customHeight="true" outlineLevel="0" collapsed="false">
      <c r="F51" s="12"/>
    </row>
    <row r="52" customFormat="false" ht="15" hidden="false" customHeight="true" outlineLevel="0" collapsed="false">
      <c r="F52" s="12"/>
    </row>
    <row r="53" customFormat="false" ht="15" hidden="false" customHeight="true" outlineLevel="0" collapsed="false">
      <c r="F53" s="12"/>
    </row>
    <row r="54" customFormat="false" ht="15" hidden="false" customHeight="true" outlineLevel="0" collapsed="false">
      <c r="F54" s="12"/>
    </row>
    <row r="55" customFormat="false" ht="15" hidden="false" customHeight="true" outlineLevel="0" collapsed="false">
      <c r="F55" s="12"/>
    </row>
    <row r="56" customFormat="false" ht="15" hidden="false" customHeight="true" outlineLevel="0" collapsed="false">
      <c r="F56" s="12"/>
    </row>
    <row r="57" customFormat="false" ht="15" hidden="false" customHeight="true" outlineLevel="0" collapsed="false">
      <c r="F57" s="12"/>
    </row>
    <row r="58" customFormat="false" ht="15" hidden="false" customHeight="true" outlineLevel="0" collapsed="false">
      <c r="F58" s="12"/>
    </row>
    <row r="59" customFormat="false" ht="15" hidden="false" customHeight="true" outlineLevel="0" collapsed="false">
      <c r="F59" s="12"/>
    </row>
    <row r="60" customFormat="false" ht="15" hidden="false" customHeight="true" outlineLevel="0" collapsed="false">
      <c r="F60" s="12"/>
    </row>
    <row r="61" customFormat="false" ht="15" hidden="false" customHeight="true" outlineLevel="0" collapsed="false">
      <c r="F61" s="12"/>
    </row>
    <row r="62" customFormat="false" ht="15" hidden="false" customHeight="true" outlineLevel="0" collapsed="false">
      <c r="F62" s="12"/>
    </row>
    <row r="63" customFormat="false" ht="15" hidden="false" customHeight="true" outlineLevel="0" collapsed="false">
      <c r="F63" s="12"/>
    </row>
    <row r="64" customFormat="false" ht="15" hidden="false" customHeight="true" outlineLevel="0" collapsed="false">
      <c r="F64" s="12"/>
    </row>
    <row r="65" customFormat="false" ht="15" hidden="false" customHeight="true" outlineLevel="0" collapsed="false">
      <c r="F65" s="12"/>
    </row>
    <row r="66" customFormat="false" ht="15" hidden="false" customHeight="true" outlineLevel="0" collapsed="false">
      <c r="F66" s="12"/>
    </row>
    <row r="67" customFormat="false" ht="15" hidden="false" customHeight="true" outlineLevel="0" collapsed="false">
      <c r="F67" s="12"/>
    </row>
    <row r="68" customFormat="false" ht="15" hidden="false" customHeight="true" outlineLevel="0" collapsed="false">
      <c r="F68" s="12"/>
    </row>
    <row r="69" customFormat="false" ht="15" hidden="false" customHeight="true" outlineLevel="0" collapsed="false">
      <c r="F69" s="12"/>
    </row>
    <row r="70" customFormat="false" ht="15" hidden="false" customHeight="true" outlineLevel="0" collapsed="false">
      <c r="F70" s="12"/>
    </row>
    <row r="71" customFormat="false" ht="15" hidden="false" customHeight="true" outlineLevel="0" collapsed="false">
      <c r="F71" s="12"/>
    </row>
    <row r="72" customFormat="false" ht="15" hidden="false" customHeight="true" outlineLevel="0" collapsed="false">
      <c r="F72" s="12"/>
    </row>
    <row r="73" customFormat="false" ht="15" hidden="false" customHeight="true" outlineLevel="0" collapsed="false">
      <c r="F73" s="12"/>
    </row>
    <row r="74" customFormat="false" ht="15" hidden="false" customHeight="true" outlineLevel="0" collapsed="false">
      <c r="F74" s="12"/>
    </row>
    <row r="75" customFormat="false" ht="15" hidden="false" customHeight="true" outlineLevel="0" collapsed="false">
      <c r="F75" s="12"/>
    </row>
    <row r="76" customFormat="false" ht="15" hidden="false" customHeight="true" outlineLevel="0" collapsed="false">
      <c r="F76" s="12"/>
    </row>
    <row r="77" customFormat="false" ht="15" hidden="false" customHeight="true" outlineLevel="0" collapsed="false">
      <c r="F77" s="12"/>
    </row>
    <row r="78" customFormat="false" ht="15" hidden="false" customHeight="true" outlineLevel="0" collapsed="false">
      <c r="F78" s="12"/>
    </row>
    <row r="79" customFormat="false" ht="15" hidden="false" customHeight="true" outlineLevel="0" collapsed="false">
      <c r="F79" s="12"/>
    </row>
    <row r="80" customFormat="false" ht="15" hidden="false" customHeight="true" outlineLevel="0" collapsed="false">
      <c r="F80" s="12"/>
    </row>
    <row r="81" customFormat="false" ht="15" hidden="false" customHeight="true" outlineLevel="0" collapsed="false">
      <c r="F81" s="12"/>
    </row>
    <row r="82" customFormat="false" ht="15" hidden="false" customHeight="true" outlineLevel="0" collapsed="false">
      <c r="F82" s="12"/>
    </row>
    <row r="83" customFormat="false" ht="15" hidden="false" customHeight="true" outlineLevel="0" collapsed="false">
      <c r="F83" s="12"/>
    </row>
    <row r="84" customFormat="false" ht="15" hidden="false" customHeight="true" outlineLevel="0" collapsed="false">
      <c r="F84" s="12"/>
    </row>
    <row r="85" customFormat="false" ht="15" hidden="false" customHeight="true" outlineLevel="0" collapsed="false">
      <c r="F85" s="12"/>
    </row>
    <row r="86" customFormat="false" ht="15" hidden="false" customHeight="true" outlineLevel="0" collapsed="false">
      <c r="F86" s="12"/>
    </row>
    <row r="87" customFormat="false" ht="15" hidden="false" customHeight="true" outlineLevel="0" collapsed="false">
      <c r="F87" s="12"/>
    </row>
    <row r="88" customFormat="false" ht="15" hidden="false" customHeight="true" outlineLevel="0" collapsed="false">
      <c r="F88" s="12"/>
    </row>
    <row r="89" customFormat="false" ht="15" hidden="false" customHeight="true" outlineLevel="0" collapsed="false">
      <c r="F89" s="12"/>
    </row>
    <row r="90" customFormat="false" ht="15" hidden="false" customHeight="true" outlineLevel="0" collapsed="false">
      <c r="F90" s="12"/>
    </row>
    <row r="91" customFormat="false" ht="15" hidden="false" customHeight="true" outlineLevel="0" collapsed="false">
      <c r="F91" s="12"/>
    </row>
    <row r="92" customFormat="false" ht="15" hidden="false" customHeight="true" outlineLevel="0" collapsed="false">
      <c r="F92" s="12"/>
    </row>
    <row r="93" customFormat="false" ht="15" hidden="false" customHeight="true" outlineLevel="0" collapsed="false">
      <c r="F93" s="12"/>
    </row>
    <row r="94" customFormat="false" ht="15" hidden="false" customHeight="true" outlineLevel="0" collapsed="false">
      <c r="F94" s="12"/>
    </row>
    <row r="95" customFormat="false" ht="15" hidden="false" customHeight="true" outlineLevel="0" collapsed="false">
      <c r="F95" s="12"/>
    </row>
    <row r="96" customFormat="false" ht="15" hidden="false" customHeight="true" outlineLevel="0" collapsed="false">
      <c r="F96" s="12"/>
    </row>
    <row r="97" customFormat="false" ht="15" hidden="false" customHeight="true" outlineLevel="0" collapsed="false">
      <c r="F97" s="12"/>
    </row>
    <row r="98" customFormat="false" ht="15" hidden="false" customHeight="true" outlineLevel="0" collapsed="false">
      <c r="F98" s="12"/>
    </row>
    <row r="99" customFormat="false" ht="15" hidden="false" customHeight="true" outlineLevel="0" collapsed="false">
      <c r="F99" s="12"/>
    </row>
    <row r="100" customFormat="false" ht="15" hidden="false" customHeight="true" outlineLevel="0" collapsed="false">
      <c r="F100" s="12"/>
    </row>
    <row r="101" customFormat="false" ht="15" hidden="false" customHeight="true" outlineLevel="0" collapsed="false">
      <c r="F101" s="12"/>
    </row>
    <row r="102" customFormat="false" ht="15" hidden="false" customHeight="true" outlineLevel="0" collapsed="false">
      <c r="F102" s="12"/>
    </row>
    <row r="103" customFormat="false" ht="15" hidden="false" customHeight="true" outlineLevel="0" collapsed="false">
      <c r="F103" s="12"/>
    </row>
    <row r="104" customFormat="false" ht="15" hidden="false" customHeight="true" outlineLevel="0" collapsed="false">
      <c r="F104" s="12"/>
    </row>
    <row r="105" customFormat="false" ht="15" hidden="false" customHeight="true" outlineLevel="0" collapsed="false">
      <c r="F105" s="12"/>
    </row>
    <row r="106" customFormat="false" ht="15" hidden="false" customHeight="true" outlineLevel="0" collapsed="false">
      <c r="F106" s="12"/>
    </row>
    <row r="107" customFormat="false" ht="15" hidden="false" customHeight="true" outlineLevel="0" collapsed="false">
      <c r="F107" s="12"/>
    </row>
    <row r="108" customFormat="false" ht="15" hidden="false" customHeight="true" outlineLevel="0" collapsed="false">
      <c r="F108" s="12"/>
    </row>
    <row r="109" customFormat="false" ht="15" hidden="false" customHeight="true" outlineLevel="0" collapsed="false">
      <c r="F109" s="12"/>
    </row>
    <row r="110" customFormat="false" ht="15" hidden="false" customHeight="true" outlineLevel="0" collapsed="false">
      <c r="F110" s="12"/>
    </row>
    <row r="111" customFormat="false" ht="15" hidden="false" customHeight="true" outlineLevel="0" collapsed="false">
      <c r="F111" s="12"/>
    </row>
    <row r="112" customFormat="false" ht="15" hidden="false" customHeight="true" outlineLevel="0" collapsed="false">
      <c r="F112" s="12"/>
    </row>
    <row r="113" customFormat="false" ht="15" hidden="false" customHeight="true" outlineLevel="0" collapsed="false">
      <c r="F113" s="12"/>
    </row>
    <row r="114" customFormat="false" ht="15" hidden="false" customHeight="true" outlineLevel="0" collapsed="false">
      <c r="F114" s="12"/>
    </row>
    <row r="115" customFormat="false" ht="15" hidden="false" customHeight="true" outlineLevel="0" collapsed="false">
      <c r="F115" s="12"/>
    </row>
    <row r="116" customFormat="false" ht="15" hidden="false" customHeight="true" outlineLevel="0" collapsed="false">
      <c r="F116" s="12"/>
    </row>
    <row r="117" customFormat="false" ht="15" hidden="false" customHeight="true" outlineLevel="0" collapsed="false">
      <c r="F117" s="12"/>
    </row>
    <row r="118" customFormat="false" ht="15" hidden="false" customHeight="true" outlineLevel="0" collapsed="false">
      <c r="F118" s="12"/>
    </row>
    <row r="119" customFormat="false" ht="15" hidden="false" customHeight="true" outlineLevel="0" collapsed="false">
      <c r="F119" s="12"/>
    </row>
    <row r="120" customFormat="false" ht="15" hidden="false" customHeight="true" outlineLevel="0" collapsed="false">
      <c r="F120" s="12"/>
    </row>
    <row r="121" customFormat="false" ht="15" hidden="false" customHeight="true" outlineLevel="0" collapsed="false">
      <c r="F121" s="12"/>
    </row>
    <row r="122" customFormat="false" ht="15" hidden="false" customHeight="true" outlineLevel="0" collapsed="false">
      <c r="F122" s="12"/>
    </row>
    <row r="123" customFormat="false" ht="15" hidden="false" customHeight="true" outlineLevel="0" collapsed="false">
      <c r="F123" s="12"/>
    </row>
    <row r="124" customFormat="false" ht="15" hidden="false" customHeight="true" outlineLevel="0" collapsed="false">
      <c r="F124" s="12"/>
    </row>
    <row r="125" customFormat="false" ht="15" hidden="false" customHeight="true" outlineLevel="0" collapsed="false">
      <c r="F125" s="12"/>
    </row>
    <row r="126" customFormat="false" ht="15" hidden="false" customHeight="true" outlineLevel="0" collapsed="false">
      <c r="F126" s="12"/>
    </row>
    <row r="127" customFormat="false" ht="15" hidden="false" customHeight="true" outlineLevel="0" collapsed="false">
      <c r="F127" s="12"/>
    </row>
    <row r="128" customFormat="false" ht="15" hidden="false" customHeight="true" outlineLevel="0" collapsed="false">
      <c r="F128" s="12"/>
    </row>
    <row r="129" customFormat="false" ht="15" hidden="false" customHeight="true" outlineLevel="0" collapsed="false">
      <c r="F129" s="12"/>
    </row>
    <row r="130" customFormat="false" ht="15" hidden="false" customHeight="true" outlineLevel="0" collapsed="false">
      <c r="F130" s="12"/>
    </row>
    <row r="131" customFormat="false" ht="15" hidden="false" customHeight="true" outlineLevel="0" collapsed="false">
      <c r="F131" s="12"/>
    </row>
    <row r="132" customFormat="false" ht="15" hidden="false" customHeight="true" outlineLevel="0" collapsed="false">
      <c r="F132" s="12"/>
    </row>
    <row r="133" customFormat="false" ht="15" hidden="false" customHeight="true" outlineLevel="0" collapsed="false">
      <c r="F133" s="12"/>
    </row>
    <row r="134" customFormat="false" ht="15" hidden="false" customHeight="true" outlineLevel="0" collapsed="false">
      <c r="F134" s="12"/>
    </row>
    <row r="135" customFormat="false" ht="15" hidden="false" customHeight="true" outlineLevel="0" collapsed="false">
      <c r="F135" s="12"/>
    </row>
    <row r="136" customFormat="false" ht="15" hidden="false" customHeight="true" outlineLevel="0" collapsed="false">
      <c r="F136" s="12"/>
    </row>
    <row r="137" customFormat="false" ht="15" hidden="false" customHeight="true" outlineLevel="0" collapsed="false">
      <c r="F137" s="12"/>
    </row>
    <row r="138" customFormat="false" ht="15" hidden="false" customHeight="true" outlineLevel="0" collapsed="false">
      <c r="F138" s="12"/>
    </row>
    <row r="139" customFormat="false" ht="15" hidden="false" customHeight="true" outlineLevel="0" collapsed="false">
      <c r="F139" s="12"/>
    </row>
    <row r="140" customFormat="false" ht="15" hidden="false" customHeight="true" outlineLevel="0" collapsed="false">
      <c r="F140" s="12"/>
    </row>
    <row r="141" customFormat="false" ht="15" hidden="false" customHeight="true" outlineLevel="0" collapsed="false">
      <c r="F141" s="12"/>
    </row>
    <row r="142" customFormat="false" ht="15" hidden="false" customHeight="true" outlineLevel="0" collapsed="false">
      <c r="F142" s="12"/>
    </row>
    <row r="143" customFormat="false" ht="15" hidden="false" customHeight="true" outlineLevel="0" collapsed="false">
      <c r="F143" s="12"/>
    </row>
    <row r="144" customFormat="false" ht="15" hidden="false" customHeight="true" outlineLevel="0" collapsed="false">
      <c r="F144" s="12"/>
    </row>
    <row r="145" customFormat="false" ht="15" hidden="false" customHeight="true" outlineLevel="0" collapsed="false">
      <c r="F145" s="12"/>
    </row>
    <row r="146" customFormat="false" ht="15" hidden="false" customHeight="true" outlineLevel="0" collapsed="false">
      <c r="F146" s="12"/>
    </row>
    <row r="147" customFormat="false" ht="15" hidden="false" customHeight="true" outlineLevel="0" collapsed="false">
      <c r="F147" s="12"/>
    </row>
    <row r="148" customFormat="false" ht="15" hidden="false" customHeight="true" outlineLevel="0" collapsed="false">
      <c r="F148" s="12"/>
    </row>
    <row r="149" customFormat="false" ht="15" hidden="false" customHeight="true" outlineLevel="0" collapsed="false">
      <c r="F149" s="12"/>
    </row>
    <row r="150" customFormat="false" ht="15" hidden="false" customHeight="true" outlineLevel="0" collapsed="false">
      <c r="F150" s="12"/>
    </row>
    <row r="151" customFormat="false" ht="15" hidden="false" customHeight="true" outlineLevel="0" collapsed="false">
      <c r="F151" s="12"/>
    </row>
    <row r="152" customFormat="false" ht="15" hidden="false" customHeight="true" outlineLevel="0" collapsed="false">
      <c r="F152" s="12"/>
    </row>
    <row r="153" customFormat="false" ht="15" hidden="false" customHeight="true" outlineLevel="0" collapsed="false">
      <c r="F153" s="12"/>
    </row>
    <row r="154" customFormat="false" ht="15" hidden="false" customHeight="true" outlineLevel="0" collapsed="false">
      <c r="F154" s="12"/>
    </row>
    <row r="155" customFormat="false" ht="15" hidden="false" customHeight="true" outlineLevel="0" collapsed="false">
      <c r="F155" s="12"/>
    </row>
    <row r="156" customFormat="false" ht="15" hidden="false" customHeight="true" outlineLevel="0" collapsed="false">
      <c r="F156" s="12"/>
    </row>
    <row r="157" customFormat="false" ht="15" hidden="false" customHeight="true" outlineLevel="0" collapsed="false">
      <c r="F157" s="12"/>
    </row>
    <row r="158" customFormat="false" ht="15" hidden="false" customHeight="true" outlineLevel="0" collapsed="false">
      <c r="F158" s="12"/>
    </row>
    <row r="159" customFormat="false" ht="15" hidden="false" customHeight="true" outlineLevel="0" collapsed="false">
      <c r="F159" s="12"/>
    </row>
    <row r="160" customFormat="false" ht="15" hidden="false" customHeight="true" outlineLevel="0" collapsed="false">
      <c r="F160" s="12"/>
    </row>
    <row r="161" customFormat="false" ht="15" hidden="false" customHeight="true" outlineLevel="0" collapsed="false">
      <c r="F161" s="12"/>
    </row>
    <row r="162" customFormat="false" ht="15" hidden="false" customHeight="true" outlineLevel="0" collapsed="false">
      <c r="F162" s="12"/>
    </row>
    <row r="163" customFormat="false" ht="15" hidden="false" customHeight="true" outlineLevel="0" collapsed="false">
      <c r="F163" s="12"/>
    </row>
    <row r="164" customFormat="false" ht="15" hidden="false" customHeight="true" outlineLevel="0" collapsed="false">
      <c r="F164" s="12"/>
    </row>
    <row r="165" customFormat="false" ht="15" hidden="false" customHeight="true" outlineLevel="0" collapsed="false">
      <c r="F165" s="12"/>
    </row>
    <row r="166" customFormat="false" ht="15" hidden="false" customHeight="true" outlineLevel="0" collapsed="false">
      <c r="F166" s="12"/>
    </row>
    <row r="167" customFormat="false" ht="15" hidden="false" customHeight="true" outlineLevel="0" collapsed="false">
      <c r="F167" s="12"/>
    </row>
    <row r="168" customFormat="false" ht="15" hidden="false" customHeight="true" outlineLevel="0" collapsed="false">
      <c r="F168" s="12"/>
    </row>
    <row r="169" customFormat="false" ht="15" hidden="false" customHeight="true" outlineLevel="0" collapsed="false">
      <c r="F169" s="12"/>
    </row>
    <row r="170" customFormat="false" ht="15" hidden="false" customHeight="true" outlineLevel="0" collapsed="false">
      <c r="F170" s="12"/>
    </row>
    <row r="171" customFormat="false" ht="15" hidden="false" customHeight="true" outlineLevel="0" collapsed="false">
      <c r="F171" s="12"/>
    </row>
    <row r="172" customFormat="false" ht="15" hidden="false" customHeight="true" outlineLevel="0" collapsed="false">
      <c r="F172" s="12"/>
    </row>
    <row r="173" customFormat="false" ht="15" hidden="false" customHeight="true" outlineLevel="0" collapsed="false">
      <c r="F173" s="12"/>
    </row>
    <row r="174" customFormat="false" ht="15" hidden="false" customHeight="true" outlineLevel="0" collapsed="false">
      <c r="F174" s="12"/>
    </row>
    <row r="175" customFormat="false" ht="15" hidden="false" customHeight="true" outlineLevel="0" collapsed="false">
      <c r="F175" s="12"/>
    </row>
    <row r="176" customFormat="false" ht="15" hidden="false" customHeight="true" outlineLevel="0" collapsed="false">
      <c r="F176" s="12"/>
    </row>
    <row r="177" customFormat="false" ht="15" hidden="false" customHeight="true" outlineLevel="0" collapsed="false">
      <c r="F177" s="12"/>
    </row>
    <row r="178" customFormat="false" ht="15" hidden="false" customHeight="true" outlineLevel="0" collapsed="false">
      <c r="F178" s="12"/>
    </row>
    <row r="179" customFormat="false" ht="15" hidden="false" customHeight="true" outlineLevel="0" collapsed="false">
      <c r="F179" s="12"/>
    </row>
    <row r="180" customFormat="false" ht="15" hidden="false" customHeight="true" outlineLevel="0" collapsed="false">
      <c r="F180" s="12"/>
    </row>
    <row r="181" customFormat="false" ht="15" hidden="false" customHeight="true" outlineLevel="0" collapsed="false">
      <c r="F181" s="12"/>
    </row>
    <row r="182" customFormat="false" ht="15" hidden="false" customHeight="true" outlineLevel="0" collapsed="false">
      <c r="F182" s="12"/>
    </row>
    <row r="183" customFormat="false" ht="15" hidden="false" customHeight="true" outlineLevel="0" collapsed="false">
      <c r="F183" s="12"/>
    </row>
    <row r="184" customFormat="false" ht="15" hidden="false" customHeight="true" outlineLevel="0" collapsed="false">
      <c r="F184" s="12"/>
    </row>
    <row r="185" customFormat="false" ht="15" hidden="false" customHeight="true" outlineLevel="0" collapsed="false">
      <c r="F185" s="12"/>
    </row>
    <row r="186" customFormat="false" ht="15" hidden="false" customHeight="true" outlineLevel="0" collapsed="false">
      <c r="F186" s="12"/>
    </row>
    <row r="187" customFormat="false" ht="15" hidden="false" customHeight="true" outlineLevel="0" collapsed="false">
      <c r="F187" s="12"/>
    </row>
    <row r="188" customFormat="false" ht="15" hidden="false" customHeight="true" outlineLevel="0" collapsed="false">
      <c r="F188" s="12"/>
    </row>
    <row r="189" customFormat="false" ht="15" hidden="false" customHeight="true" outlineLevel="0" collapsed="false">
      <c r="F189" s="12"/>
    </row>
    <row r="190" customFormat="false" ht="15" hidden="false" customHeight="true" outlineLevel="0" collapsed="false">
      <c r="F190" s="12"/>
    </row>
    <row r="191" customFormat="false" ht="15" hidden="false" customHeight="true" outlineLevel="0" collapsed="false">
      <c r="F191" s="12"/>
    </row>
    <row r="192" customFormat="false" ht="15" hidden="false" customHeight="true" outlineLevel="0" collapsed="false">
      <c r="F192" s="12"/>
    </row>
    <row r="193" customFormat="false" ht="15" hidden="false" customHeight="true" outlineLevel="0" collapsed="false">
      <c r="F193" s="12"/>
    </row>
    <row r="194" customFormat="false" ht="15" hidden="false" customHeight="true" outlineLevel="0" collapsed="false">
      <c r="F194" s="12"/>
    </row>
    <row r="195" customFormat="false" ht="15" hidden="false" customHeight="true" outlineLevel="0" collapsed="false">
      <c r="F195" s="12"/>
    </row>
    <row r="196" customFormat="false" ht="15" hidden="false" customHeight="true" outlineLevel="0" collapsed="false">
      <c r="F196" s="12"/>
    </row>
    <row r="197" customFormat="false" ht="15" hidden="false" customHeight="true" outlineLevel="0" collapsed="false">
      <c r="F197" s="12"/>
    </row>
    <row r="198" customFormat="false" ht="15" hidden="false" customHeight="true" outlineLevel="0" collapsed="false">
      <c r="F198" s="12"/>
    </row>
    <row r="199" customFormat="false" ht="15" hidden="false" customHeight="true" outlineLevel="0" collapsed="false">
      <c r="F199" s="12"/>
    </row>
    <row r="200" customFormat="false" ht="15" hidden="false" customHeight="true" outlineLevel="0" collapsed="false">
      <c r="F200" s="12"/>
    </row>
    <row r="201" customFormat="false" ht="15" hidden="false" customHeight="true" outlineLevel="0" collapsed="false">
      <c r="F201" s="12"/>
    </row>
    <row r="202" customFormat="false" ht="15" hidden="false" customHeight="true" outlineLevel="0" collapsed="false">
      <c r="F202" s="12"/>
    </row>
    <row r="203" customFormat="false" ht="15" hidden="false" customHeight="true" outlineLevel="0" collapsed="false">
      <c r="F203" s="12"/>
    </row>
    <row r="204" customFormat="false" ht="15" hidden="false" customHeight="true" outlineLevel="0" collapsed="false">
      <c r="F204" s="12"/>
    </row>
    <row r="205" customFormat="false" ht="15" hidden="false" customHeight="true" outlineLevel="0" collapsed="false">
      <c r="F205" s="12"/>
    </row>
    <row r="206" customFormat="false" ht="15" hidden="false" customHeight="true" outlineLevel="0" collapsed="false">
      <c r="F206" s="12"/>
    </row>
    <row r="207" customFormat="false" ht="15" hidden="false" customHeight="true" outlineLevel="0" collapsed="false">
      <c r="F207" s="12"/>
    </row>
    <row r="208" customFormat="false" ht="15" hidden="false" customHeight="true" outlineLevel="0" collapsed="false">
      <c r="F208" s="12"/>
    </row>
    <row r="209" customFormat="false" ht="15" hidden="false" customHeight="true" outlineLevel="0" collapsed="false">
      <c r="F209" s="12"/>
    </row>
    <row r="210" customFormat="false" ht="15" hidden="false" customHeight="true" outlineLevel="0" collapsed="false">
      <c r="F210" s="12"/>
    </row>
    <row r="211" customFormat="false" ht="15" hidden="false" customHeight="true" outlineLevel="0" collapsed="false">
      <c r="F211" s="12"/>
    </row>
    <row r="212" customFormat="false" ht="15" hidden="false" customHeight="true" outlineLevel="0" collapsed="false">
      <c r="F212" s="12"/>
    </row>
    <row r="213" customFormat="false" ht="15" hidden="false" customHeight="true" outlineLevel="0" collapsed="false">
      <c r="F213" s="12"/>
    </row>
    <row r="214" customFormat="false" ht="15" hidden="false" customHeight="true" outlineLevel="0" collapsed="false">
      <c r="F214" s="12"/>
    </row>
    <row r="215" customFormat="false" ht="15" hidden="false" customHeight="true" outlineLevel="0" collapsed="false">
      <c r="F215" s="12"/>
    </row>
    <row r="216" customFormat="false" ht="15" hidden="false" customHeight="true" outlineLevel="0" collapsed="false">
      <c r="F216" s="12"/>
    </row>
    <row r="217" customFormat="false" ht="15" hidden="false" customHeight="true" outlineLevel="0" collapsed="false">
      <c r="F217" s="12"/>
    </row>
    <row r="218" customFormat="false" ht="15" hidden="false" customHeight="true" outlineLevel="0" collapsed="false">
      <c r="F218" s="12"/>
    </row>
    <row r="219" customFormat="false" ht="15" hidden="false" customHeight="true" outlineLevel="0" collapsed="false">
      <c r="F219" s="12"/>
    </row>
    <row r="220" customFormat="false" ht="15" hidden="false" customHeight="true" outlineLevel="0" collapsed="false">
      <c r="F220" s="12"/>
    </row>
    <row r="221" customFormat="false" ht="15" hidden="false" customHeight="true" outlineLevel="0" collapsed="false">
      <c r="F221" s="12"/>
    </row>
    <row r="222" customFormat="false" ht="15" hidden="false" customHeight="true" outlineLevel="0" collapsed="false">
      <c r="F222" s="12"/>
    </row>
    <row r="223" customFormat="false" ht="15" hidden="false" customHeight="true" outlineLevel="0" collapsed="false">
      <c r="F223" s="12"/>
    </row>
    <row r="224" customFormat="false" ht="15" hidden="false" customHeight="true" outlineLevel="0" collapsed="false">
      <c r="F224" s="12"/>
    </row>
    <row r="225" customFormat="false" ht="15" hidden="false" customHeight="true" outlineLevel="0" collapsed="false">
      <c r="F225" s="12"/>
    </row>
    <row r="226" customFormat="false" ht="15" hidden="false" customHeight="true" outlineLevel="0" collapsed="false">
      <c r="F226" s="12"/>
    </row>
    <row r="227" customFormat="false" ht="15" hidden="false" customHeight="true" outlineLevel="0" collapsed="false">
      <c r="F227" s="12"/>
    </row>
    <row r="228" customFormat="false" ht="15" hidden="false" customHeight="true" outlineLevel="0" collapsed="false">
      <c r="F228" s="12"/>
    </row>
    <row r="229" customFormat="false" ht="15" hidden="false" customHeight="true" outlineLevel="0" collapsed="false">
      <c r="F229" s="12"/>
    </row>
    <row r="230" customFormat="false" ht="15" hidden="false" customHeight="true" outlineLevel="0" collapsed="false">
      <c r="F230" s="12"/>
    </row>
    <row r="231" customFormat="false" ht="15" hidden="false" customHeight="true" outlineLevel="0" collapsed="false">
      <c r="F231" s="12"/>
    </row>
    <row r="232" customFormat="false" ht="15" hidden="false" customHeight="true" outlineLevel="0" collapsed="false">
      <c r="F232" s="12"/>
    </row>
    <row r="233" customFormat="false" ht="15" hidden="false" customHeight="true" outlineLevel="0" collapsed="false">
      <c r="F233" s="12"/>
    </row>
    <row r="234" customFormat="false" ht="15" hidden="false" customHeight="true" outlineLevel="0" collapsed="false">
      <c r="F234" s="12"/>
    </row>
    <row r="235" customFormat="false" ht="15" hidden="false" customHeight="true" outlineLevel="0" collapsed="false">
      <c r="F235" s="12"/>
    </row>
    <row r="236" customFormat="false" ht="15" hidden="false" customHeight="true" outlineLevel="0" collapsed="false">
      <c r="F236" s="12"/>
    </row>
    <row r="237" customFormat="false" ht="15" hidden="false" customHeight="true" outlineLevel="0" collapsed="false">
      <c r="F237" s="12"/>
    </row>
    <row r="238" customFormat="false" ht="15" hidden="false" customHeight="true" outlineLevel="0" collapsed="false">
      <c r="F238" s="12"/>
    </row>
    <row r="239" customFormat="false" ht="15" hidden="false" customHeight="true" outlineLevel="0" collapsed="false">
      <c r="F239" s="12"/>
    </row>
    <row r="240" customFormat="false" ht="15" hidden="false" customHeight="true" outlineLevel="0" collapsed="false">
      <c r="F240" s="12"/>
    </row>
    <row r="241" customFormat="false" ht="15" hidden="false" customHeight="true" outlineLevel="0" collapsed="false">
      <c r="F241" s="12"/>
    </row>
    <row r="242" customFormat="false" ht="15" hidden="false" customHeight="true" outlineLevel="0" collapsed="false">
      <c r="F242" s="12"/>
    </row>
    <row r="243" customFormat="false" ht="15" hidden="false" customHeight="true" outlineLevel="0" collapsed="false">
      <c r="F243" s="12"/>
    </row>
    <row r="244" customFormat="false" ht="15" hidden="false" customHeight="true" outlineLevel="0" collapsed="false">
      <c r="F244" s="12"/>
    </row>
    <row r="245" customFormat="false" ht="15" hidden="false" customHeight="true" outlineLevel="0" collapsed="false">
      <c r="F245" s="12"/>
    </row>
    <row r="246" customFormat="false" ht="15" hidden="false" customHeight="true" outlineLevel="0" collapsed="false">
      <c r="F246" s="12"/>
    </row>
    <row r="247" customFormat="false" ht="15" hidden="false" customHeight="true" outlineLevel="0" collapsed="false">
      <c r="F247" s="12"/>
    </row>
    <row r="248" customFormat="false" ht="15" hidden="false" customHeight="true" outlineLevel="0" collapsed="false">
      <c r="F248" s="12"/>
    </row>
    <row r="249" customFormat="false" ht="15" hidden="false" customHeight="true" outlineLevel="0" collapsed="false">
      <c r="F249" s="12"/>
    </row>
    <row r="250" customFormat="false" ht="15" hidden="false" customHeight="true" outlineLevel="0" collapsed="false">
      <c r="F250" s="12"/>
    </row>
    <row r="251" customFormat="false" ht="15" hidden="false" customHeight="true" outlineLevel="0" collapsed="false">
      <c r="F251" s="12"/>
    </row>
    <row r="252" customFormat="false" ht="15" hidden="false" customHeight="true" outlineLevel="0" collapsed="false">
      <c r="F252" s="12"/>
    </row>
    <row r="253" customFormat="false" ht="15" hidden="false" customHeight="true" outlineLevel="0" collapsed="false">
      <c r="F253" s="12"/>
    </row>
    <row r="254" customFormat="false" ht="15" hidden="false" customHeight="true" outlineLevel="0" collapsed="false">
      <c r="F254" s="12"/>
    </row>
    <row r="255" customFormat="false" ht="15" hidden="false" customHeight="true" outlineLevel="0" collapsed="false">
      <c r="F255" s="12"/>
    </row>
    <row r="256" customFormat="false" ht="15" hidden="false" customHeight="true" outlineLevel="0" collapsed="false">
      <c r="F256" s="12"/>
    </row>
    <row r="257" customFormat="false" ht="15" hidden="false" customHeight="true" outlineLevel="0" collapsed="false">
      <c r="F257" s="12"/>
    </row>
    <row r="258" customFormat="false" ht="15" hidden="false" customHeight="true" outlineLevel="0" collapsed="false">
      <c r="F258" s="12"/>
    </row>
    <row r="259" customFormat="false" ht="15" hidden="false" customHeight="true" outlineLevel="0" collapsed="false">
      <c r="F259" s="12"/>
    </row>
    <row r="260" customFormat="false" ht="15" hidden="false" customHeight="true" outlineLevel="0" collapsed="false">
      <c r="F260" s="12"/>
    </row>
    <row r="261" customFormat="false" ht="15" hidden="false" customHeight="true" outlineLevel="0" collapsed="false">
      <c r="F261" s="12"/>
    </row>
    <row r="262" customFormat="false" ht="15" hidden="false" customHeight="true" outlineLevel="0" collapsed="false">
      <c r="F262" s="12"/>
    </row>
    <row r="263" customFormat="false" ht="15" hidden="false" customHeight="true" outlineLevel="0" collapsed="false">
      <c r="F263" s="12"/>
    </row>
    <row r="264" customFormat="false" ht="15" hidden="false" customHeight="true" outlineLevel="0" collapsed="false">
      <c r="F264" s="12"/>
    </row>
    <row r="265" customFormat="false" ht="15" hidden="false" customHeight="true" outlineLevel="0" collapsed="false">
      <c r="F265" s="12"/>
    </row>
    <row r="266" customFormat="false" ht="15" hidden="false" customHeight="true" outlineLevel="0" collapsed="false">
      <c r="F266" s="12"/>
    </row>
    <row r="267" customFormat="false" ht="15" hidden="false" customHeight="true" outlineLevel="0" collapsed="false">
      <c r="F267" s="12"/>
    </row>
    <row r="268" customFormat="false" ht="15" hidden="false" customHeight="true" outlineLevel="0" collapsed="false">
      <c r="F268" s="12"/>
    </row>
    <row r="269" customFormat="false" ht="15" hidden="false" customHeight="true" outlineLevel="0" collapsed="false">
      <c r="F269" s="12"/>
    </row>
    <row r="270" customFormat="false" ht="15" hidden="false" customHeight="true" outlineLevel="0" collapsed="false">
      <c r="F270" s="12"/>
    </row>
    <row r="271" customFormat="false" ht="15" hidden="false" customHeight="true" outlineLevel="0" collapsed="false">
      <c r="F271" s="12"/>
    </row>
    <row r="272" customFormat="false" ht="15" hidden="false" customHeight="true" outlineLevel="0" collapsed="false">
      <c r="F272" s="12"/>
    </row>
    <row r="273" customFormat="false" ht="15" hidden="false" customHeight="true" outlineLevel="0" collapsed="false">
      <c r="F273" s="12"/>
    </row>
    <row r="274" customFormat="false" ht="15" hidden="false" customHeight="true" outlineLevel="0" collapsed="false">
      <c r="F274" s="12"/>
    </row>
    <row r="275" customFormat="false" ht="15" hidden="false" customHeight="true" outlineLevel="0" collapsed="false">
      <c r="F275" s="12"/>
    </row>
    <row r="276" customFormat="false" ht="15" hidden="false" customHeight="true" outlineLevel="0" collapsed="false">
      <c r="F276" s="12"/>
    </row>
    <row r="277" customFormat="false" ht="15" hidden="false" customHeight="true" outlineLevel="0" collapsed="false">
      <c r="F277" s="12"/>
    </row>
    <row r="278" customFormat="false" ht="15" hidden="false" customHeight="true" outlineLevel="0" collapsed="false">
      <c r="F278" s="12"/>
    </row>
    <row r="279" customFormat="false" ht="15" hidden="false" customHeight="true" outlineLevel="0" collapsed="false">
      <c r="F279" s="12"/>
    </row>
    <row r="280" customFormat="false" ht="15" hidden="false" customHeight="true" outlineLevel="0" collapsed="false">
      <c r="F280" s="12"/>
    </row>
    <row r="281" customFormat="false" ht="15" hidden="false" customHeight="true" outlineLevel="0" collapsed="false">
      <c r="F281" s="12"/>
    </row>
    <row r="282" customFormat="false" ht="15" hidden="false" customHeight="true" outlineLevel="0" collapsed="false">
      <c r="F282" s="12"/>
    </row>
    <row r="283" customFormat="false" ht="15" hidden="false" customHeight="true" outlineLevel="0" collapsed="false">
      <c r="F283" s="12"/>
    </row>
    <row r="284" customFormat="false" ht="15" hidden="false" customHeight="true" outlineLevel="0" collapsed="false">
      <c r="F284" s="12"/>
    </row>
    <row r="285" customFormat="false" ht="15" hidden="false" customHeight="true" outlineLevel="0" collapsed="false">
      <c r="F285" s="12"/>
    </row>
    <row r="286" customFormat="false" ht="15" hidden="false" customHeight="true" outlineLevel="0" collapsed="false">
      <c r="F286" s="12"/>
    </row>
    <row r="287" customFormat="false" ht="15" hidden="false" customHeight="true" outlineLevel="0" collapsed="false">
      <c r="F287" s="12"/>
    </row>
    <row r="288" customFormat="false" ht="15" hidden="false" customHeight="true" outlineLevel="0" collapsed="false">
      <c r="F288" s="12"/>
    </row>
    <row r="289" customFormat="false" ht="15" hidden="false" customHeight="true" outlineLevel="0" collapsed="false">
      <c r="F289" s="12"/>
    </row>
    <row r="290" customFormat="false" ht="15" hidden="false" customHeight="true" outlineLevel="0" collapsed="false">
      <c r="F290" s="12"/>
    </row>
    <row r="291" customFormat="false" ht="15" hidden="false" customHeight="true" outlineLevel="0" collapsed="false">
      <c r="F291" s="12"/>
    </row>
    <row r="292" customFormat="false" ht="15" hidden="false" customHeight="true" outlineLevel="0" collapsed="false">
      <c r="F292" s="12"/>
    </row>
    <row r="293" customFormat="false" ht="15" hidden="false" customHeight="true" outlineLevel="0" collapsed="false">
      <c r="F293" s="12"/>
    </row>
    <row r="294" customFormat="false" ht="15" hidden="false" customHeight="true" outlineLevel="0" collapsed="false">
      <c r="F294" s="12"/>
    </row>
    <row r="295" customFormat="false" ht="15" hidden="false" customHeight="true" outlineLevel="0" collapsed="false">
      <c r="F295" s="12"/>
    </row>
    <row r="296" customFormat="false" ht="15" hidden="false" customHeight="true" outlineLevel="0" collapsed="false">
      <c r="F296" s="12"/>
    </row>
    <row r="297" customFormat="false" ht="15" hidden="false" customHeight="true" outlineLevel="0" collapsed="false">
      <c r="F297" s="12"/>
    </row>
    <row r="298" customFormat="false" ht="15" hidden="false" customHeight="true" outlineLevel="0" collapsed="false">
      <c r="F298" s="12"/>
    </row>
    <row r="299" customFormat="false" ht="15" hidden="false" customHeight="true" outlineLevel="0" collapsed="false">
      <c r="F299" s="12"/>
    </row>
    <row r="300" customFormat="false" ht="15" hidden="false" customHeight="true" outlineLevel="0" collapsed="false">
      <c r="F300" s="12"/>
    </row>
    <row r="301" customFormat="false" ht="15" hidden="false" customHeight="true" outlineLevel="0" collapsed="false">
      <c r="F301" s="12"/>
    </row>
    <row r="302" customFormat="false" ht="15" hidden="false" customHeight="true" outlineLevel="0" collapsed="false">
      <c r="F302" s="12"/>
    </row>
    <row r="303" customFormat="false" ht="15" hidden="false" customHeight="true" outlineLevel="0" collapsed="false">
      <c r="F303" s="12"/>
    </row>
    <row r="304" customFormat="false" ht="15" hidden="false" customHeight="true" outlineLevel="0" collapsed="false">
      <c r="F304" s="12"/>
    </row>
    <row r="305" customFormat="false" ht="15" hidden="false" customHeight="true" outlineLevel="0" collapsed="false">
      <c r="F305" s="12"/>
    </row>
    <row r="306" customFormat="false" ht="15" hidden="false" customHeight="true" outlineLevel="0" collapsed="false">
      <c r="F306" s="12"/>
    </row>
    <row r="307" customFormat="false" ht="15" hidden="false" customHeight="true" outlineLevel="0" collapsed="false">
      <c r="F307" s="12"/>
    </row>
    <row r="308" customFormat="false" ht="15" hidden="false" customHeight="true" outlineLevel="0" collapsed="false">
      <c r="F308" s="12"/>
    </row>
    <row r="309" customFormat="false" ht="15" hidden="false" customHeight="true" outlineLevel="0" collapsed="false">
      <c r="F309" s="12"/>
    </row>
    <row r="310" customFormat="false" ht="15" hidden="false" customHeight="true" outlineLevel="0" collapsed="false">
      <c r="F310" s="12"/>
    </row>
    <row r="311" customFormat="false" ht="15" hidden="false" customHeight="true" outlineLevel="0" collapsed="false">
      <c r="F311" s="12"/>
    </row>
    <row r="312" customFormat="false" ht="15" hidden="false" customHeight="true" outlineLevel="0" collapsed="false">
      <c r="F312" s="12"/>
    </row>
    <row r="313" customFormat="false" ht="15" hidden="false" customHeight="true" outlineLevel="0" collapsed="false">
      <c r="F313" s="12"/>
    </row>
    <row r="314" customFormat="false" ht="15" hidden="false" customHeight="true" outlineLevel="0" collapsed="false">
      <c r="F314" s="12"/>
    </row>
    <row r="315" customFormat="false" ht="15" hidden="false" customHeight="true" outlineLevel="0" collapsed="false">
      <c r="F315" s="12"/>
    </row>
    <row r="316" customFormat="false" ht="15" hidden="false" customHeight="true" outlineLevel="0" collapsed="false">
      <c r="F316" s="12"/>
    </row>
    <row r="317" customFormat="false" ht="15" hidden="false" customHeight="true" outlineLevel="0" collapsed="false">
      <c r="F317" s="12"/>
    </row>
    <row r="318" customFormat="false" ht="15" hidden="false" customHeight="true" outlineLevel="0" collapsed="false">
      <c r="F318" s="12"/>
    </row>
    <row r="319" customFormat="false" ht="15" hidden="false" customHeight="true" outlineLevel="0" collapsed="false">
      <c r="F319" s="12"/>
    </row>
    <row r="320" customFormat="false" ht="15" hidden="false" customHeight="true" outlineLevel="0" collapsed="false">
      <c r="F320" s="12"/>
    </row>
    <row r="321" customFormat="false" ht="15" hidden="false" customHeight="true" outlineLevel="0" collapsed="false">
      <c r="F321" s="12"/>
    </row>
    <row r="322" customFormat="false" ht="15" hidden="false" customHeight="true" outlineLevel="0" collapsed="false">
      <c r="F322" s="12"/>
    </row>
    <row r="323" customFormat="false" ht="15" hidden="false" customHeight="true" outlineLevel="0" collapsed="false">
      <c r="F323" s="12"/>
    </row>
    <row r="324" customFormat="false" ht="15" hidden="false" customHeight="true" outlineLevel="0" collapsed="false">
      <c r="F324" s="12"/>
    </row>
    <row r="325" customFormat="false" ht="15" hidden="false" customHeight="true" outlineLevel="0" collapsed="false">
      <c r="F325" s="12"/>
    </row>
    <row r="326" customFormat="false" ht="15" hidden="false" customHeight="true" outlineLevel="0" collapsed="false">
      <c r="F326" s="12"/>
    </row>
    <row r="327" customFormat="false" ht="15" hidden="false" customHeight="true" outlineLevel="0" collapsed="false">
      <c r="F327" s="12"/>
    </row>
    <row r="328" customFormat="false" ht="15" hidden="false" customHeight="true" outlineLevel="0" collapsed="false">
      <c r="F328" s="12"/>
    </row>
    <row r="329" customFormat="false" ht="15" hidden="false" customHeight="true" outlineLevel="0" collapsed="false">
      <c r="F329" s="12"/>
    </row>
    <row r="330" customFormat="false" ht="15" hidden="false" customHeight="true" outlineLevel="0" collapsed="false">
      <c r="F330" s="12"/>
    </row>
    <row r="331" customFormat="false" ht="15" hidden="false" customHeight="true" outlineLevel="0" collapsed="false">
      <c r="F331" s="12"/>
    </row>
    <row r="332" customFormat="false" ht="15" hidden="false" customHeight="true" outlineLevel="0" collapsed="false">
      <c r="F332" s="12"/>
    </row>
    <row r="333" customFormat="false" ht="15" hidden="false" customHeight="true" outlineLevel="0" collapsed="false">
      <c r="F333" s="12"/>
    </row>
    <row r="334" customFormat="false" ht="15" hidden="false" customHeight="true" outlineLevel="0" collapsed="false">
      <c r="F334" s="12"/>
    </row>
    <row r="335" customFormat="false" ht="15" hidden="false" customHeight="true" outlineLevel="0" collapsed="false">
      <c r="F335" s="12"/>
    </row>
    <row r="336" customFormat="false" ht="15" hidden="false" customHeight="true" outlineLevel="0" collapsed="false">
      <c r="F336" s="12"/>
    </row>
    <row r="337" customFormat="false" ht="15" hidden="false" customHeight="true" outlineLevel="0" collapsed="false">
      <c r="F337" s="12"/>
    </row>
    <row r="338" customFormat="false" ht="15" hidden="false" customHeight="true" outlineLevel="0" collapsed="false">
      <c r="F338" s="12"/>
    </row>
    <row r="339" customFormat="false" ht="15" hidden="false" customHeight="true" outlineLevel="0" collapsed="false">
      <c r="F339" s="12"/>
    </row>
    <row r="340" customFormat="false" ht="15" hidden="false" customHeight="true" outlineLevel="0" collapsed="false">
      <c r="F340" s="12"/>
    </row>
    <row r="341" customFormat="false" ht="15" hidden="false" customHeight="true" outlineLevel="0" collapsed="false">
      <c r="F341" s="12"/>
    </row>
    <row r="342" customFormat="false" ht="15" hidden="false" customHeight="true" outlineLevel="0" collapsed="false">
      <c r="F342" s="12"/>
    </row>
    <row r="343" customFormat="false" ht="15" hidden="false" customHeight="true" outlineLevel="0" collapsed="false">
      <c r="F343" s="12"/>
    </row>
    <row r="344" customFormat="false" ht="15" hidden="false" customHeight="true" outlineLevel="0" collapsed="false">
      <c r="F344" s="12"/>
    </row>
    <row r="345" customFormat="false" ht="15" hidden="false" customHeight="true" outlineLevel="0" collapsed="false">
      <c r="F345" s="12"/>
    </row>
    <row r="346" customFormat="false" ht="15" hidden="false" customHeight="true" outlineLevel="0" collapsed="false">
      <c r="F346" s="12"/>
    </row>
    <row r="347" customFormat="false" ht="15" hidden="false" customHeight="true" outlineLevel="0" collapsed="false">
      <c r="F347" s="12"/>
    </row>
    <row r="348" customFormat="false" ht="15" hidden="false" customHeight="true" outlineLevel="0" collapsed="false">
      <c r="F348" s="12"/>
    </row>
    <row r="349" customFormat="false" ht="15" hidden="false" customHeight="true" outlineLevel="0" collapsed="false">
      <c r="F349" s="12"/>
    </row>
    <row r="350" customFormat="false" ht="15" hidden="false" customHeight="true" outlineLevel="0" collapsed="false">
      <c r="F350" s="12"/>
    </row>
    <row r="351" customFormat="false" ht="15" hidden="false" customHeight="true" outlineLevel="0" collapsed="false">
      <c r="F351" s="12"/>
    </row>
    <row r="352" customFormat="false" ht="15" hidden="false" customHeight="true" outlineLevel="0" collapsed="false">
      <c r="F352" s="12"/>
    </row>
    <row r="353" customFormat="false" ht="15" hidden="false" customHeight="true" outlineLevel="0" collapsed="false">
      <c r="F353" s="12"/>
    </row>
    <row r="354" customFormat="false" ht="15" hidden="false" customHeight="true" outlineLevel="0" collapsed="false">
      <c r="F354" s="12"/>
    </row>
    <row r="355" customFormat="false" ht="15" hidden="false" customHeight="true" outlineLevel="0" collapsed="false">
      <c r="F355" s="12"/>
    </row>
    <row r="356" customFormat="false" ht="15" hidden="false" customHeight="true" outlineLevel="0" collapsed="false">
      <c r="F356" s="12"/>
    </row>
    <row r="357" customFormat="false" ht="15" hidden="false" customHeight="true" outlineLevel="0" collapsed="false">
      <c r="F357" s="12"/>
    </row>
    <row r="358" customFormat="false" ht="15" hidden="false" customHeight="true" outlineLevel="0" collapsed="false">
      <c r="F358" s="12"/>
    </row>
    <row r="359" customFormat="false" ht="15" hidden="false" customHeight="true" outlineLevel="0" collapsed="false">
      <c r="F359" s="12"/>
    </row>
    <row r="360" customFormat="false" ht="15" hidden="false" customHeight="true" outlineLevel="0" collapsed="false">
      <c r="F360" s="12"/>
    </row>
    <row r="361" customFormat="false" ht="15" hidden="false" customHeight="true" outlineLevel="0" collapsed="false">
      <c r="F361" s="12"/>
    </row>
    <row r="362" customFormat="false" ht="15" hidden="false" customHeight="true" outlineLevel="0" collapsed="false">
      <c r="F362" s="12"/>
    </row>
    <row r="363" customFormat="false" ht="15" hidden="false" customHeight="true" outlineLevel="0" collapsed="false">
      <c r="F363" s="12"/>
    </row>
    <row r="364" customFormat="false" ht="15" hidden="false" customHeight="true" outlineLevel="0" collapsed="false">
      <c r="F364" s="12"/>
    </row>
    <row r="365" customFormat="false" ht="15" hidden="false" customHeight="true" outlineLevel="0" collapsed="false">
      <c r="F365" s="12"/>
    </row>
    <row r="366" customFormat="false" ht="15" hidden="false" customHeight="true" outlineLevel="0" collapsed="false">
      <c r="F366" s="12"/>
    </row>
    <row r="367" customFormat="false" ht="15" hidden="false" customHeight="true" outlineLevel="0" collapsed="false">
      <c r="F367" s="12"/>
    </row>
    <row r="368" customFormat="false" ht="15" hidden="false" customHeight="true" outlineLevel="0" collapsed="false">
      <c r="F368" s="12"/>
    </row>
    <row r="369" customFormat="false" ht="15" hidden="false" customHeight="true" outlineLevel="0" collapsed="false">
      <c r="F369" s="12"/>
    </row>
    <row r="370" customFormat="false" ht="15" hidden="false" customHeight="true" outlineLevel="0" collapsed="false">
      <c r="F370" s="12"/>
    </row>
    <row r="371" customFormat="false" ht="15" hidden="false" customHeight="true" outlineLevel="0" collapsed="false">
      <c r="F371" s="12"/>
    </row>
    <row r="372" customFormat="false" ht="15" hidden="false" customHeight="true" outlineLevel="0" collapsed="false">
      <c r="F372" s="12"/>
    </row>
    <row r="373" customFormat="false" ht="15" hidden="false" customHeight="true" outlineLevel="0" collapsed="false">
      <c r="F373" s="12"/>
    </row>
    <row r="374" customFormat="false" ht="15" hidden="false" customHeight="true" outlineLevel="0" collapsed="false">
      <c r="F374" s="12"/>
    </row>
    <row r="375" customFormat="false" ht="15" hidden="false" customHeight="true" outlineLevel="0" collapsed="false">
      <c r="F375" s="12"/>
    </row>
    <row r="376" customFormat="false" ht="15" hidden="false" customHeight="true" outlineLevel="0" collapsed="false">
      <c r="F376" s="12"/>
    </row>
    <row r="377" customFormat="false" ht="15" hidden="false" customHeight="true" outlineLevel="0" collapsed="false">
      <c r="F377" s="12"/>
    </row>
    <row r="378" customFormat="false" ht="15" hidden="false" customHeight="true" outlineLevel="0" collapsed="false">
      <c r="F378" s="12"/>
    </row>
    <row r="379" customFormat="false" ht="15" hidden="false" customHeight="true" outlineLevel="0" collapsed="false">
      <c r="F379" s="12"/>
    </row>
    <row r="380" customFormat="false" ht="15" hidden="false" customHeight="true" outlineLevel="0" collapsed="false">
      <c r="F380" s="12"/>
    </row>
    <row r="381" customFormat="false" ht="15" hidden="false" customHeight="true" outlineLevel="0" collapsed="false">
      <c r="F381" s="12"/>
    </row>
    <row r="382" customFormat="false" ht="15" hidden="false" customHeight="true" outlineLevel="0" collapsed="false">
      <c r="F382" s="12"/>
    </row>
    <row r="383" customFormat="false" ht="15" hidden="false" customHeight="true" outlineLevel="0" collapsed="false">
      <c r="F383" s="12"/>
    </row>
    <row r="384" customFormat="false" ht="15" hidden="false" customHeight="true" outlineLevel="0" collapsed="false">
      <c r="F384" s="12"/>
    </row>
    <row r="385" customFormat="false" ht="15" hidden="false" customHeight="true" outlineLevel="0" collapsed="false">
      <c r="F385" s="12"/>
    </row>
    <row r="386" customFormat="false" ht="15" hidden="false" customHeight="true" outlineLevel="0" collapsed="false">
      <c r="F386" s="12"/>
    </row>
    <row r="387" customFormat="false" ht="15" hidden="false" customHeight="true" outlineLevel="0" collapsed="false">
      <c r="F387" s="12"/>
    </row>
    <row r="388" customFormat="false" ht="15" hidden="false" customHeight="true" outlineLevel="0" collapsed="false">
      <c r="F388" s="12"/>
    </row>
    <row r="389" customFormat="false" ht="15" hidden="false" customHeight="true" outlineLevel="0" collapsed="false">
      <c r="F389" s="12"/>
    </row>
    <row r="390" customFormat="false" ht="15" hidden="false" customHeight="true" outlineLevel="0" collapsed="false">
      <c r="F390" s="12"/>
    </row>
    <row r="391" customFormat="false" ht="15" hidden="false" customHeight="true" outlineLevel="0" collapsed="false">
      <c r="F391" s="12"/>
    </row>
    <row r="392" customFormat="false" ht="15" hidden="false" customHeight="true" outlineLevel="0" collapsed="false">
      <c r="F392" s="12"/>
    </row>
    <row r="393" customFormat="false" ht="15" hidden="false" customHeight="true" outlineLevel="0" collapsed="false">
      <c r="F393" s="12"/>
    </row>
    <row r="394" customFormat="false" ht="15" hidden="false" customHeight="true" outlineLevel="0" collapsed="false">
      <c r="F394" s="12"/>
    </row>
    <row r="395" customFormat="false" ht="15" hidden="false" customHeight="true" outlineLevel="0" collapsed="false">
      <c r="F395" s="12"/>
    </row>
    <row r="396" customFormat="false" ht="15" hidden="false" customHeight="true" outlineLevel="0" collapsed="false">
      <c r="F396" s="12"/>
    </row>
    <row r="397" customFormat="false" ht="15" hidden="false" customHeight="true" outlineLevel="0" collapsed="false">
      <c r="F397" s="12"/>
    </row>
    <row r="398" customFormat="false" ht="15" hidden="false" customHeight="true" outlineLevel="0" collapsed="false">
      <c r="F398" s="12"/>
    </row>
    <row r="399" customFormat="false" ht="15" hidden="false" customHeight="true" outlineLevel="0" collapsed="false">
      <c r="F399" s="12"/>
    </row>
    <row r="400" customFormat="false" ht="15" hidden="false" customHeight="true" outlineLevel="0" collapsed="false">
      <c r="F400" s="12"/>
    </row>
    <row r="401" customFormat="false" ht="15" hidden="false" customHeight="true" outlineLevel="0" collapsed="false">
      <c r="F401" s="12"/>
    </row>
    <row r="402" customFormat="false" ht="15" hidden="false" customHeight="true" outlineLevel="0" collapsed="false">
      <c r="F402" s="12"/>
    </row>
    <row r="403" customFormat="false" ht="15" hidden="false" customHeight="true" outlineLevel="0" collapsed="false">
      <c r="F403" s="12"/>
    </row>
    <row r="404" customFormat="false" ht="15" hidden="false" customHeight="true" outlineLevel="0" collapsed="false">
      <c r="F404" s="12"/>
    </row>
    <row r="405" customFormat="false" ht="15" hidden="false" customHeight="true" outlineLevel="0" collapsed="false">
      <c r="F405" s="12"/>
    </row>
    <row r="406" customFormat="false" ht="15" hidden="false" customHeight="true" outlineLevel="0" collapsed="false">
      <c r="F406" s="12"/>
    </row>
    <row r="407" customFormat="false" ht="15" hidden="false" customHeight="true" outlineLevel="0" collapsed="false">
      <c r="F407" s="12"/>
    </row>
    <row r="408" customFormat="false" ht="15" hidden="false" customHeight="true" outlineLevel="0" collapsed="false">
      <c r="F408" s="12"/>
    </row>
    <row r="409" customFormat="false" ht="15" hidden="false" customHeight="true" outlineLevel="0" collapsed="false">
      <c r="F409" s="12"/>
    </row>
    <row r="410" customFormat="false" ht="15" hidden="false" customHeight="true" outlineLevel="0" collapsed="false">
      <c r="F410" s="12"/>
    </row>
    <row r="411" customFormat="false" ht="15" hidden="false" customHeight="true" outlineLevel="0" collapsed="false">
      <c r="F411" s="12"/>
    </row>
    <row r="412" customFormat="false" ht="15" hidden="false" customHeight="true" outlineLevel="0" collapsed="false">
      <c r="F412" s="12"/>
    </row>
    <row r="413" customFormat="false" ht="15" hidden="false" customHeight="true" outlineLevel="0" collapsed="false">
      <c r="F413" s="12"/>
    </row>
    <row r="414" customFormat="false" ht="15" hidden="false" customHeight="true" outlineLevel="0" collapsed="false">
      <c r="F414" s="12"/>
    </row>
    <row r="415" customFormat="false" ht="15" hidden="false" customHeight="true" outlineLevel="0" collapsed="false">
      <c r="F415" s="12"/>
    </row>
    <row r="416" customFormat="false" ht="15" hidden="false" customHeight="true" outlineLevel="0" collapsed="false">
      <c r="F416" s="12"/>
    </row>
    <row r="417" customFormat="false" ht="15" hidden="false" customHeight="true" outlineLevel="0" collapsed="false">
      <c r="F417" s="12"/>
    </row>
    <row r="418" customFormat="false" ht="15" hidden="false" customHeight="true" outlineLevel="0" collapsed="false">
      <c r="F418" s="12"/>
    </row>
    <row r="419" customFormat="false" ht="15" hidden="false" customHeight="true" outlineLevel="0" collapsed="false">
      <c r="F419" s="12"/>
    </row>
    <row r="420" customFormat="false" ht="15" hidden="false" customHeight="true" outlineLevel="0" collapsed="false">
      <c r="F420" s="12"/>
    </row>
    <row r="421" customFormat="false" ht="15" hidden="false" customHeight="true" outlineLevel="0" collapsed="false">
      <c r="F421" s="12"/>
    </row>
    <row r="422" customFormat="false" ht="15" hidden="false" customHeight="true" outlineLevel="0" collapsed="false">
      <c r="F422" s="12"/>
    </row>
    <row r="423" customFormat="false" ht="15" hidden="false" customHeight="true" outlineLevel="0" collapsed="false">
      <c r="F423" s="12"/>
    </row>
    <row r="424" customFormat="false" ht="15" hidden="false" customHeight="true" outlineLevel="0" collapsed="false">
      <c r="F424" s="12"/>
    </row>
    <row r="425" customFormat="false" ht="15" hidden="false" customHeight="true" outlineLevel="0" collapsed="false">
      <c r="F425" s="12"/>
    </row>
    <row r="426" customFormat="false" ht="15" hidden="false" customHeight="true" outlineLevel="0" collapsed="false">
      <c r="F426" s="12"/>
    </row>
    <row r="427" customFormat="false" ht="15" hidden="false" customHeight="true" outlineLevel="0" collapsed="false">
      <c r="F427" s="12"/>
    </row>
    <row r="428" customFormat="false" ht="15" hidden="false" customHeight="true" outlineLevel="0" collapsed="false">
      <c r="F428" s="12"/>
    </row>
    <row r="429" customFormat="false" ht="15" hidden="false" customHeight="true" outlineLevel="0" collapsed="false">
      <c r="F429" s="12"/>
    </row>
    <row r="430" customFormat="false" ht="15" hidden="false" customHeight="true" outlineLevel="0" collapsed="false">
      <c r="F430" s="12"/>
    </row>
    <row r="431" customFormat="false" ht="15" hidden="false" customHeight="true" outlineLevel="0" collapsed="false">
      <c r="F431" s="12"/>
    </row>
    <row r="432" customFormat="false" ht="15" hidden="false" customHeight="true" outlineLevel="0" collapsed="false">
      <c r="F432" s="12"/>
    </row>
    <row r="433" customFormat="false" ht="15" hidden="false" customHeight="true" outlineLevel="0" collapsed="false">
      <c r="F433" s="12"/>
    </row>
    <row r="434" customFormat="false" ht="15" hidden="false" customHeight="true" outlineLevel="0" collapsed="false">
      <c r="F434" s="12"/>
    </row>
    <row r="435" customFormat="false" ht="15" hidden="false" customHeight="true" outlineLevel="0" collapsed="false">
      <c r="F435" s="12"/>
    </row>
    <row r="436" customFormat="false" ht="15" hidden="false" customHeight="true" outlineLevel="0" collapsed="false">
      <c r="F436" s="12"/>
    </row>
    <row r="437" customFormat="false" ht="15" hidden="false" customHeight="true" outlineLevel="0" collapsed="false">
      <c r="F437" s="12"/>
    </row>
    <row r="438" customFormat="false" ht="15" hidden="false" customHeight="true" outlineLevel="0" collapsed="false">
      <c r="F438" s="12"/>
    </row>
    <row r="439" customFormat="false" ht="15" hidden="false" customHeight="true" outlineLevel="0" collapsed="false">
      <c r="F439" s="12"/>
    </row>
    <row r="440" customFormat="false" ht="15" hidden="false" customHeight="true" outlineLevel="0" collapsed="false">
      <c r="F440" s="12"/>
    </row>
    <row r="441" customFormat="false" ht="15" hidden="false" customHeight="true" outlineLevel="0" collapsed="false">
      <c r="F441" s="12"/>
    </row>
    <row r="442" customFormat="false" ht="15" hidden="false" customHeight="true" outlineLevel="0" collapsed="false">
      <c r="F442" s="12"/>
    </row>
    <row r="443" customFormat="false" ht="15" hidden="false" customHeight="true" outlineLevel="0" collapsed="false">
      <c r="F443" s="12"/>
    </row>
    <row r="444" customFormat="false" ht="15" hidden="false" customHeight="true" outlineLevel="0" collapsed="false">
      <c r="F444" s="12"/>
    </row>
    <row r="445" customFormat="false" ht="15" hidden="false" customHeight="true" outlineLevel="0" collapsed="false">
      <c r="F445" s="12"/>
    </row>
    <row r="446" customFormat="false" ht="15" hidden="false" customHeight="true" outlineLevel="0" collapsed="false">
      <c r="F446" s="12"/>
    </row>
    <row r="447" customFormat="false" ht="15" hidden="false" customHeight="true" outlineLevel="0" collapsed="false">
      <c r="F447" s="12"/>
    </row>
    <row r="448" customFormat="false" ht="15" hidden="false" customHeight="true" outlineLevel="0" collapsed="false">
      <c r="F448" s="12"/>
    </row>
    <row r="449" customFormat="false" ht="15" hidden="false" customHeight="true" outlineLevel="0" collapsed="false">
      <c r="F449" s="12"/>
    </row>
    <row r="450" customFormat="false" ht="15" hidden="false" customHeight="true" outlineLevel="0" collapsed="false">
      <c r="F450" s="12"/>
    </row>
    <row r="451" customFormat="false" ht="15" hidden="false" customHeight="true" outlineLevel="0" collapsed="false">
      <c r="F451" s="12"/>
    </row>
    <row r="452" customFormat="false" ht="15" hidden="false" customHeight="true" outlineLevel="0" collapsed="false">
      <c r="F452" s="12"/>
    </row>
    <row r="453" customFormat="false" ht="15" hidden="false" customHeight="true" outlineLevel="0" collapsed="false">
      <c r="F453" s="12"/>
    </row>
    <row r="454" customFormat="false" ht="15" hidden="false" customHeight="true" outlineLevel="0" collapsed="false">
      <c r="F454" s="12"/>
    </row>
    <row r="455" customFormat="false" ht="15" hidden="false" customHeight="true" outlineLevel="0" collapsed="false">
      <c r="F455" s="12"/>
    </row>
    <row r="456" customFormat="false" ht="15" hidden="false" customHeight="true" outlineLevel="0" collapsed="false">
      <c r="F456" s="12"/>
    </row>
    <row r="457" customFormat="false" ht="15" hidden="false" customHeight="true" outlineLevel="0" collapsed="false">
      <c r="F457" s="12"/>
    </row>
    <row r="458" customFormat="false" ht="15" hidden="false" customHeight="true" outlineLevel="0" collapsed="false">
      <c r="F458" s="12"/>
    </row>
    <row r="459" customFormat="false" ht="15" hidden="false" customHeight="true" outlineLevel="0" collapsed="false">
      <c r="F459" s="12"/>
    </row>
    <row r="460" customFormat="false" ht="15" hidden="false" customHeight="true" outlineLevel="0" collapsed="false">
      <c r="F460" s="12"/>
    </row>
    <row r="461" customFormat="false" ht="15" hidden="false" customHeight="true" outlineLevel="0" collapsed="false">
      <c r="F461" s="12"/>
    </row>
    <row r="462" customFormat="false" ht="15" hidden="false" customHeight="true" outlineLevel="0" collapsed="false">
      <c r="F462" s="12"/>
    </row>
    <row r="463" customFormat="false" ht="15" hidden="false" customHeight="true" outlineLevel="0" collapsed="false">
      <c r="F463" s="12"/>
    </row>
    <row r="464" customFormat="false" ht="15" hidden="false" customHeight="true" outlineLevel="0" collapsed="false">
      <c r="F464" s="12"/>
    </row>
    <row r="465" customFormat="false" ht="15" hidden="false" customHeight="true" outlineLevel="0" collapsed="false">
      <c r="F465" s="12"/>
    </row>
    <row r="466" customFormat="false" ht="15" hidden="false" customHeight="true" outlineLevel="0" collapsed="false">
      <c r="F466" s="12"/>
    </row>
    <row r="467" customFormat="false" ht="15" hidden="false" customHeight="true" outlineLevel="0" collapsed="false">
      <c r="F467" s="12"/>
    </row>
    <row r="468" customFormat="false" ht="15" hidden="false" customHeight="true" outlineLevel="0" collapsed="false">
      <c r="F468" s="12"/>
    </row>
    <row r="469" customFormat="false" ht="15" hidden="false" customHeight="true" outlineLevel="0" collapsed="false">
      <c r="F469" s="12"/>
    </row>
    <row r="470" customFormat="false" ht="15" hidden="false" customHeight="true" outlineLevel="0" collapsed="false">
      <c r="F470" s="12"/>
    </row>
    <row r="471" customFormat="false" ht="15" hidden="false" customHeight="true" outlineLevel="0" collapsed="false">
      <c r="F471" s="12"/>
    </row>
    <row r="472" customFormat="false" ht="15" hidden="false" customHeight="true" outlineLevel="0" collapsed="false">
      <c r="F472" s="12"/>
    </row>
    <row r="473" customFormat="false" ht="15" hidden="false" customHeight="true" outlineLevel="0" collapsed="false">
      <c r="F473" s="12"/>
    </row>
    <row r="474" customFormat="false" ht="15" hidden="false" customHeight="true" outlineLevel="0" collapsed="false">
      <c r="F474" s="12"/>
    </row>
    <row r="475" customFormat="false" ht="15" hidden="false" customHeight="true" outlineLevel="0" collapsed="false">
      <c r="F475" s="12"/>
    </row>
    <row r="476" customFormat="false" ht="15" hidden="false" customHeight="true" outlineLevel="0" collapsed="false">
      <c r="F476" s="12"/>
    </row>
    <row r="477" customFormat="false" ht="15" hidden="false" customHeight="true" outlineLevel="0" collapsed="false">
      <c r="F477" s="12"/>
    </row>
    <row r="478" customFormat="false" ht="15" hidden="false" customHeight="true" outlineLevel="0" collapsed="false">
      <c r="F478" s="12"/>
    </row>
    <row r="479" customFormat="false" ht="15" hidden="false" customHeight="true" outlineLevel="0" collapsed="false">
      <c r="F479" s="12"/>
    </row>
    <row r="480" customFormat="false" ht="15" hidden="false" customHeight="true" outlineLevel="0" collapsed="false">
      <c r="F480" s="12"/>
    </row>
    <row r="481" customFormat="false" ht="15" hidden="false" customHeight="true" outlineLevel="0" collapsed="false">
      <c r="F481" s="12"/>
    </row>
    <row r="482" customFormat="false" ht="15" hidden="false" customHeight="true" outlineLevel="0" collapsed="false">
      <c r="F482" s="12"/>
    </row>
    <row r="483" customFormat="false" ht="15" hidden="false" customHeight="true" outlineLevel="0" collapsed="false">
      <c r="F483" s="12"/>
    </row>
    <row r="484" customFormat="false" ht="15" hidden="false" customHeight="true" outlineLevel="0" collapsed="false">
      <c r="F484" s="12"/>
    </row>
    <row r="485" customFormat="false" ht="15" hidden="false" customHeight="true" outlineLevel="0" collapsed="false">
      <c r="F485" s="12"/>
    </row>
    <row r="486" customFormat="false" ht="15" hidden="false" customHeight="true" outlineLevel="0" collapsed="false">
      <c r="F486" s="12"/>
    </row>
    <row r="487" customFormat="false" ht="15" hidden="false" customHeight="true" outlineLevel="0" collapsed="false">
      <c r="F487" s="12"/>
    </row>
    <row r="488" customFormat="false" ht="15" hidden="false" customHeight="true" outlineLevel="0" collapsed="false">
      <c r="F488" s="12"/>
    </row>
    <row r="489" customFormat="false" ht="15" hidden="false" customHeight="true" outlineLevel="0" collapsed="false">
      <c r="F489" s="12"/>
    </row>
    <row r="490" customFormat="false" ht="15" hidden="false" customHeight="true" outlineLevel="0" collapsed="false">
      <c r="F490" s="12"/>
    </row>
    <row r="491" customFormat="false" ht="15" hidden="false" customHeight="true" outlineLevel="0" collapsed="false">
      <c r="F491" s="12"/>
    </row>
    <row r="492" customFormat="false" ht="15" hidden="false" customHeight="true" outlineLevel="0" collapsed="false">
      <c r="F492" s="12"/>
    </row>
    <row r="493" customFormat="false" ht="15" hidden="false" customHeight="true" outlineLevel="0" collapsed="false">
      <c r="F493" s="12"/>
    </row>
    <row r="494" customFormat="false" ht="15" hidden="false" customHeight="true" outlineLevel="0" collapsed="false">
      <c r="F494" s="12"/>
    </row>
    <row r="495" customFormat="false" ht="15" hidden="false" customHeight="true" outlineLevel="0" collapsed="false">
      <c r="F495" s="12"/>
    </row>
    <row r="496" customFormat="false" ht="15" hidden="false" customHeight="true" outlineLevel="0" collapsed="false">
      <c r="F496" s="12"/>
    </row>
    <row r="497" customFormat="false" ht="15" hidden="false" customHeight="true" outlineLevel="0" collapsed="false">
      <c r="F497" s="12"/>
    </row>
    <row r="498" customFormat="false" ht="15" hidden="false" customHeight="true" outlineLevel="0" collapsed="false">
      <c r="F498" s="12"/>
    </row>
    <row r="499" customFormat="false" ht="15" hidden="false" customHeight="true" outlineLevel="0" collapsed="false">
      <c r="F499" s="12"/>
    </row>
  </sheetData>
  <dataValidations count="1">
    <dataValidation allowBlank="true" errorStyle="stop" operator="between" showDropDown="false" showErrorMessage="false" showInputMessage="false" sqref="E2:E500" type="list">
      <formula1>"New,Renewal,Upgrade,Downgrade,Cancellation"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5" min="4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40"/>
  </cols>
  <sheetData>
    <row r="1" customFormat="false" ht="19.5" hidden="false" customHeight="true" outlineLevel="0" collapsed="false">
      <c r="A1" s="2" t="s">
        <v>9</v>
      </c>
    </row>
    <row r="2" customFormat="false" ht="27.75" hidden="false" customHeight="true" outlineLevel="0" collapsed="false">
      <c r="A2" s="13" t="s">
        <v>64</v>
      </c>
      <c r="B2" s="13"/>
      <c r="C2" s="13"/>
      <c r="D2" s="13"/>
      <c r="E2" s="13"/>
      <c r="F2" s="13"/>
      <c r="G2" s="13"/>
      <c r="H2" s="13"/>
    </row>
    <row r="4" customFormat="false" ht="30" hidden="false" customHeight="true" outlineLevel="0" collapsed="false">
      <c r="A4" s="7" t="s">
        <v>65</v>
      </c>
      <c r="B4" s="7" t="s">
        <v>66</v>
      </c>
      <c r="C4" s="7" t="s">
        <v>67</v>
      </c>
      <c r="D4" s="7" t="s">
        <v>68</v>
      </c>
      <c r="E4" s="7" t="s">
        <v>69</v>
      </c>
      <c r="F4" s="7" t="s">
        <v>70</v>
      </c>
      <c r="G4" s="7" t="s">
        <v>71</v>
      </c>
      <c r="H4" s="7" t="s">
        <v>72</v>
      </c>
    </row>
    <row r="5" customFormat="false" ht="23.25" hidden="false" customHeight="true" outlineLevel="0" collapsed="false">
      <c r="A5" s="14" t="s">
        <v>73</v>
      </c>
      <c r="B5" s="15" t="n">
        <v>0</v>
      </c>
      <c r="C5" s="15" t="n">
        <v>0</v>
      </c>
      <c r="D5" s="14" t="n">
        <v>1</v>
      </c>
      <c r="E5" s="14" t="n">
        <v>1</v>
      </c>
      <c r="F5" s="14" t="s">
        <v>74</v>
      </c>
      <c r="G5" s="14" t="s">
        <v>75</v>
      </c>
      <c r="H5" s="14" t="s">
        <v>76</v>
      </c>
    </row>
    <row r="6" customFormat="false" ht="23.25" hidden="false" customHeight="true" outlineLevel="0" collapsed="false">
      <c r="A6" s="14" t="s">
        <v>50</v>
      </c>
      <c r="B6" s="15" t="n">
        <v>99</v>
      </c>
      <c r="C6" s="15" t="n">
        <v>82</v>
      </c>
      <c r="D6" s="14" t="n">
        <v>5</v>
      </c>
      <c r="E6" s="14" t="n">
        <v>5</v>
      </c>
      <c r="F6" s="14" t="n">
        <v>15</v>
      </c>
      <c r="G6" s="14" t="s">
        <v>77</v>
      </c>
      <c r="H6" s="14" t="s">
        <v>78</v>
      </c>
    </row>
    <row r="7" customFormat="false" ht="23.25" hidden="false" customHeight="true" outlineLevel="0" collapsed="false">
      <c r="A7" s="14" t="s">
        <v>79</v>
      </c>
      <c r="B7" s="15" t="n">
        <v>349</v>
      </c>
      <c r="C7" s="15" t="n">
        <v>287</v>
      </c>
      <c r="D7" s="14" t="n">
        <v>20</v>
      </c>
      <c r="E7" s="14" t="n">
        <v>20</v>
      </c>
      <c r="F7" s="14" t="n">
        <v>12</v>
      </c>
      <c r="G7" s="14" t="s">
        <v>80</v>
      </c>
      <c r="H7" s="14" t="s">
        <v>81</v>
      </c>
    </row>
    <row r="8" customFormat="false" ht="23.25" hidden="false" customHeight="true" outlineLevel="0" collapsed="false">
      <c r="A8" s="14" t="s">
        <v>82</v>
      </c>
      <c r="B8" s="14" t="s">
        <v>83</v>
      </c>
      <c r="C8" s="14" t="s">
        <v>84</v>
      </c>
      <c r="D8" s="14" t="s">
        <v>85</v>
      </c>
      <c r="E8" s="14" t="s">
        <v>85</v>
      </c>
      <c r="F8" s="14" t="s">
        <v>74</v>
      </c>
      <c r="G8" s="14" t="s">
        <v>80</v>
      </c>
      <c r="H8" s="14" t="s">
        <v>86</v>
      </c>
    </row>
    <row r="10" customFormat="false" ht="15" hidden="false" customHeight="true" outlineLevel="0" collapsed="false">
      <c r="A10" s="16" t="s">
        <v>87</v>
      </c>
      <c r="B10" s="16"/>
      <c r="C10" s="16"/>
      <c r="D10" s="16"/>
      <c r="E10" s="16"/>
      <c r="F10" s="16"/>
      <c r="G10" s="16"/>
      <c r="H10" s="16"/>
    </row>
  </sheetData>
  <mergeCells count="2">
    <mergeCell ref="A2:H2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34"/>
    <col collapsed="false" customWidth="true" hidden="false" outlineLevel="0" max="4" min="4" style="1" width="18"/>
  </cols>
  <sheetData>
    <row r="1" customFormat="false" ht="19.5" hidden="false" customHeight="true" outlineLevel="0" collapsed="false">
      <c r="A1" s="2" t="s">
        <v>11</v>
      </c>
    </row>
    <row r="2" customFormat="false" ht="15" hidden="false" customHeight="true" outlineLevel="0" collapsed="false">
      <c r="A2" s="13" t="s">
        <v>88</v>
      </c>
      <c r="B2" s="13"/>
      <c r="C2" s="13"/>
      <c r="D2" s="13"/>
    </row>
    <row r="4" customFormat="false" ht="15" hidden="false" customHeight="true" outlineLevel="0" collapsed="false">
      <c r="A4" s="4" t="s">
        <v>89</v>
      </c>
    </row>
    <row r="5" customFormat="false" ht="15" hidden="false" customHeight="true" outlineLevel="0" collapsed="false">
      <c r="A5" s="17" t="s">
        <v>90</v>
      </c>
      <c r="B5" s="18" t="n">
        <f aca="false">COUNTA('Leads &amp; Demo Requests'!B2:B500)</f>
        <v>1</v>
      </c>
    </row>
    <row r="6" customFormat="false" ht="15" hidden="false" customHeight="true" outlineLevel="0" collapsed="false">
      <c r="A6" s="17" t="s">
        <v>62</v>
      </c>
      <c r="B6" s="18" t="n">
        <f aca="false">COUNTIF('Leads &amp; Demo Requests'!G2:G500,"New")</f>
        <v>0</v>
      </c>
    </row>
    <row r="7" customFormat="false" ht="15" hidden="false" customHeight="true" outlineLevel="0" collapsed="false">
      <c r="A7" s="17" t="s">
        <v>91</v>
      </c>
      <c r="B7" s="18" t="n">
        <f aca="false">COUNTIF('Leads &amp; Demo Requests'!G2:G500,"Contacted")</f>
        <v>0</v>
      </c>
    </row>
    <row r="8" customFormat="false" ht="15" hidden="false" customHeight="true" outlineLevel="0" collapsed="false">
      <c r="A8" s="17" t="s">
        <v>38</v>
      </c>
      <c r="B8" s="18" t="n">
        <f aca="false">COUNTIF('Leads &amp; Demo Requests'!G2:G500,"Demo Scheduled")</f>
        <v>1</v>
      </c>
    </row>
    <row r="9" customFormat="false" ht="15" hidden="false" customHeight="true" outlineLevel="0" collapsed="false">
      <c r="A9" s="17" t="s">
        <v>92</v>
      </c>
      <c r="B9" s="18" t="n">
        <f aca="false">COUNTIF('Leads &amp; Demo Requests'!G2:G500,"Demo Completed")</f>
        <v>0</v>
      </c>
    </row>
    <row r="10" customFormat="false" ht="15" hidden="false" customHeight="true" outlineLevel="0" collapsed="false">
      <c r="A10" s="17" t="s">
        <v>93</v>
      </c>
      <c r="B10" s="18" t="n">
        <f aca="false">COUNTIF('Leads &amp; Demo Requests'!G2:G500,"Converted")</f>
        <v>0</v>
      </c>
    </row>
    <row r="11" customFormat="false" ht="15" hidden="false" customHeight="true" outlineLevel="0" collapsed="false">
      <c r="A11" s="17" t="s">
        <v>94</v>
      </c>
      <c r="B11" s="18" t="n">
        <f aca="false">COUNTIF('Leads &amp; Demo Requests'!G2:G500,"Lost")</f>
        <v>0</v>
      </c>
    </row>
    <row r="13" customFormat="false" ht="15" hidden="false" customHeight="true" outlineLevel="0" collapsed="false">
      <c r="A13" s="19" t="s">
        <v>5</v>
      </c>
    </row>
    <row r="14" customFormat="false" ht="15" hidden="false" customHeight="true" outlineLevel="0" collapsed="false">
      <c r="A14" s="17" t="s">
        <v>95</v>
      </c>
      <c r="B14" s="18" t="n">
        <f aca="false">COUNTIF(Customers!F2:F500,"Active")</f>
        <v>1</v>
      </c>
    </row>
    <row r="15" customFormat="false" ht="15" hidden="false" customHeight="true" outlineLevel="0" collapsed="false">
      <c r="A15" s="17" t="s">
        <v>96</v>
      </c>
      <c r="B15" s="18" t="n">
        <f aca="false">COUNTIF(Customers!F2:F500,"Trial")</f>
        <v>0</v>
      </c>
    </row>
    <row r="16" customFormat="false" ht="15" hidden="false" customHeight="true" outlineLevel="0" collapsed="false">
      <c r="A16" s="17" t="s">
        <v>97</v>
      </c>
      <c r="B16" s="18" t="n">
        <f aca="false">COUNTIF(Customers!F2:F500,"Past Due")</f>
        <v>0</v>
      </c>
    </row>
    <row r="17" customFormat="false" ht="15" hidden="false" customHeight="true" outlineLevel="0" collapsed="false">
      <c r="A17" s="17" t="s">
        <v>98</v>
      </c>
      <c r="B17" s="18" t="n">
        <f aca="false">COUNTIF(Customers!F2:F500,"Churned")</f>
        <v>0</v>
      </c>
    </row>
    <row r="18" customFormat="false" ht="15" hidden="false" customHeight="true" outlineLevel="0" collapsed="false">
      <c r="A18" s="17" t="s">
        <v>99</v>
      </c>
      <c r="B18" s="18" t="n">
        <f aca="false">COUNTIFS(Customers!E2:E500,"Starter",Customers!F2:F500,"Active")</f>
        <v>0</v>
      </c>
    </row>
    <row r="19" customFormat="false" ht="15" hidden="false" customHeight="true" outlineLevel="0" collapsed="false">
      <c r="A19" s="17" t="s">
        <v>50</v>
      </c>
      <c r="B19" s="18" t="n">
        <f aca="false">COUNTIFS(Customers!E2:E500,"Team",Customers!F2:F500,"Active")</f>
        <v>1</v>
      </c>
    </row>
    <row r="20" customFormat="false" ht="15" hidden="false" customHeight="true" outlineLevel="0" collapsed="false">
      <c r="A20" s="17" t="s">
        <v>79</v>
      </c>
      <c r="B20" s="18" t="n">
        <f aca="false">COUNTIFS(Customers!E2:E500,"Business",Customers!F2:F500,"Active")</f>
        <v>0</v>
      </c>
    </row>
    <row r="21" customFormat="false" ht="15" hidden="false" customHeight="true" outlineLevel="0" collapsed="false">
      <c r="A21" s="17" t="s">
        <v>82</v>
      </c>
      <c r="B21" s="18" t="n">
        <f aca="false">COUNTIFS(Customers!E2:E500,"Enterprise",Customers!F2:F500,"Active")</f>
        <v>0</v>
      </c>
    </row>
    <row r="23" customFormat="false" ht="15" hidden="false" customHeight="true" outlineLevel="0" collapsed="false">
      <c r="A23" s="19" t="s">
        <v>100</v>
      </c>
    </row>
    <row r="24" customFormat="false" ht="15" hidden="false" customHeight="true" outlineLevel="0" collapsed="false">
      <c r="A24" s="17" t="s">
        <v>101</v>
      </c>
      <c r="B24" s="20" t="n">
        <f aca="false">SUMIF(Customers!F2:F500,"Active",Customers!J2:J500)</f>
        <v>82</v>
      </c>
    </row>
    <row r="25" customFormat="false" ht="15" hidden="false" customHeight="true" outlineLevel="0" collapsed="false">
      <c r="A25" s="17" t="s">
        <v>102</v>
      </c>
      <c r="B25" s="20" t="n">
        <f aca="false">B24*12</f>
        <v>984</v>
      </c>
    </row>
    <row r="27" customFormat="false" ht="15" hidden="false" customHeight="true" outlineLevel="0" collapsed="false">
      <c r="A27" s="19" t="s">
        <v>103</v>
      </c>
    </row>
    <row r="28" customFormat="false" ht="15" hidden="false" customHeight="true" outlineLevel="0" collapsed="false">
      <c r="A28" s="17" t="s">
        <v>104</v>
      </c>
      <c r="B28" s="21" t="n">
        <f aca="false">IFERROR(COUNTIF('Leads &amp; Demo Requests'!G2:G500,"Converted")/COUNTA('Leads &amp; Demo Requests'!B2:B500),0)</f>
        <v>0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2026-07-24T04:49:09Z</dcterms:created>
  <dc:creator>openpyxl</dc:creator>
  <dc:description/>
  <dc:language>en-US</dc:language>
  <cp:lastModifiedBy/>
  <dcterms:modified xsi:type="dcterms:W3CDTF">2026-07-27T19:54:17Z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